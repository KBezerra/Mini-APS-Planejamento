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Kauã\Desktop\Projeto-Mini_APS\"/>
    </mc:Choice>
  </mc:AlternateContent>
  <xr:revisionPtr revIDLastSave="0" documentId="13_ncr:1_{ABB5C613-008F-443F-9878-B1C10D778321}" xr6:coauthVersionLast="47" xr6:coauthVersionMax="47" xr10:uidLastSave="{00000000-0000-0000-0000-000000000000}"/>
  <bookViews>
    <workbookView xWindow="-120" yWindow="-120" windowWidth="29040" windowHeight="15720" xr2:uid="{F6936487-644B-4F95-91FD-4259BB7C67D5}"/>
  </bookViews>
  <sheets>
    <sheet name="Mini APS" sheetId="2" r:id="rId1"/>
  </sheets>
  <definedNames>
    <definedName name="_xlnm._FilterDatabase" localSheetId="0" hidden="1">'Mini APS'!$A$16:$BR$353</definedName>
    <definedName name="_xleta.SUM" hidden="1" xlm="1">#NAME?</definedName>
    <definedName name="_xlnm.Criteria" localSheetId="0">'Mini APS'!#REF!</definedName>
    <definedName name="SOP_Planning_Scope">"AUG 2021 - AUG 2023 | Baseline | Base Version | SM"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9" i="2" l="1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P343" i="2" l="1"/>
  <c r="BP342" i="2"/>
  <c r="BP331" i="2"/>
  <c r="BP330" i="2"/>
  <c r="BP319" i="2"/>
  <c r="BP318" i="2"/>
  <c r="BP307" i="2"/>
  <c r="BP306" i="2"/>
  <c r="BP295" i="2"/>
  <c r="BP294" i="2"/>
  <c r="BP283" i="2"/>
  <c r="BP282" i="2"/>
  <c r="BP271" i="2"/>
  <c r="BP270" i="2"/>
  <c r="BP259" i="2"/>
  <c r="BP258" i="2"/>
  <c r="BP247" i="2"/>
  <c r="BP246" i="2"/>
  <c r="BP236" i="2"/>
  <c r="BP235" i="2"/>
  <c r="BP234" i="2"/>
  <c r="BP224" i="2"/>
  <c r="BP223" i="2"/>
  <c r="BP222" i="2"/>
  <c r="BP212" i="2"/>
  <c r="BP211" i="2"/>
  <c r="BP210" i="2"/>
  <c r="BP200" i="2"/>
  <c r="BP199" i="2"/>
  <c r="BP198" i="2"/>
  <c r="BP188" i="2"/>
  <c r="BP187" i="2"/>
  <c r="BP186" i="2"/>
  <c r="BP177" i="2"/>
  <c r="BP176" i="2"/>
  <c r="BP175" i="2"/>
  <c r="BP174" i="2"/>
  <c r="BP165" i="2"/>
  <c r="BP164" i="2"/>
  <c r="BP163" i="2"/>
  <c r="BP162" i="2"/>
  <c r="BP153" i="2"/>
  <c r="BP152" i="2"/>
  <c r="BP151" i="2"/>
  <c r="BP150" i="2"/>
  <c r="BP141" i="2"/>
  <c r="BP140" i="2"/>
  <c r="BP139" i="2"/>
  <c r="BP138" i="2"/>
  <c r="BP129" i="2"/>
  <c r="BP128" i="2"/>
  <c r="BP127" i="2"/>
  <c r="BP126" i="2"/>
  <c r="BP117" i="2"/>
  <c r="BP116" i="2"/>
  <c r="BP115" i="2"/>
  <c r="BP114" i="2"/>
  <c r="BP105" i="2"/>
  <c r="BP104" i="2"/>
  <c r="BP103" i="2"/>
  <c r="BP102" i="2"/>
  <c r="BP93" i="2"/>
  <c r="BP92" i="2"/>
  <c r="BP91" i="2"/>
  <c r="BP90" i="2"/>
  <c r="BP81" i="2"/>
  <c r="BP80" i="2"/>
  <c r="BP79" i="2"/>
  <c r="BP78" i="2"/>
  <c r="BP69" i="2"/>
  <c r="BP68" i="2"/>
  <c r="BP67" i="2"/>
  <c r="BP66" i="2"/>
  <c r="BP57" i="2"/>
  <c r="BP56" i="2"/>
  <c r="BP55" i="2"/>
  <c r="BP54" i="2"/>
  <c r="BP46" i="2"/>
  <c r="BP45" i="2"/>
  <c r="BP44" i="2"/>
  <c r="BP43" i="2"/>
  <c r="BP42" i="2"/>
  <c r="BP34" i="2"/>
  <c r="BP33" i="2"/>
  <c r="BP32" i="2"/>
  <c r="BP31" i="2"/>
  <c r="BP30" i="2"/>
  <c r="BP22" i="2"/>
  <c r="BP21" i="2"/>
  <c r="BP20" i="2"/>
  <c r="BP19" i="2"/>
  <c r="BP18" i="2"/>
  <c r="BP26" i="2"/>
  <c r="BP28" i="2"/>
  <c r="BP29" i="2"/>
  <c r="BP40" i="2"/>
  <c r="BP41" i="2"/>
  <c r="BP48" i="2"/>
  <c r="BP52" i="2"/>
  <c r="BP53" i="2"/>
  <c r="BP63" i="2"/>
  <c r="BP64" i="2"/>
  <c r="BP65" i="2"/>
  <c r="BP76" i="2"/>
  <c r="BP83" i="2"/>
  <c r="BP84" i="2"/>
  <c r="BP88" i="2"/>
  <c r="BP89" i="2"/>
  <c r="BP99" i="2"/>
  <c r="BP100" i="2"/>
  <c r="BP101" i="2"/>
  <c r="BP112" i="2"/>
  <c r="BP113" i="2"/>
  <c r="BP120" i="2"/>
  <c r="BP124" i="2"/>
  <c r="BP125" i="2"/>
  <c r="BP135" i="2"/>
  <c r="BP136" i="2"/>
  <c r="BP137" i="2"/>
  <c r="BP148" i="2"/>
  <c r="BP149" i="2"/>
  <c r="BP156" i="2"/>
  <c r="BP160" i="2"/>
  <c r="BP161" i="2"/>
  <c r="BP172" i="2"/>
  <c r="BP173" i="2"/>
  <c r="BP184" i="2"/>
  <c r="BP185" i="2"/>
  <c r="BP191" i="2"/>
  <c r="BP196" i="2"/>
  <c r="BP197" i="2"/>
  <c r="BP205" i="2"/>
  <c r="BP206" i="2"/>
  <c r="BP208" i="2"/>
  <c r="BP209" i="2"/>
  <c r="BP220" i="2"/>
  <c r="BP221" i="2"/>
  <c r="BP232" i="2"/>
  <c r="BP233" i="2"/>
  <c r="BP239" i="2"/>
  <c r="BP244" i="2"/>
  <c r="BP245" i="2"/>
  <c r="BP252" i="2"/>
  <c r="BP253" i="2"/>
  <c r="BP256" i="2"/>
  <c r="BP257" i="2"/>
  <c r="BP266" i="2"/>
  <c r="BP267" i="2"/>
  <c r="BP268" i="2"/>
  <c r="BP269" i="2"/>
  <c r="BP280" i="2"/>
  <c r="BP281" i="2"/>
  <c r="BP292" i="2"/>
  <c r="BP293" i="2"/>
  <c r="BP296" i="2"/>
  <c r="BP297" i="2"/>
  <c r="BP305" i="2"/>
  <c r="BP310" i="2"/>
  <c r="BP311" i="2"/>
  <c r="BP316" i="2"/>
  <c r="BP317" i="2"/>
  <c r="BP324" i="2"/>
  <c r="BP325" i="2"/>
  <c r="BP329" i="2"/>
  <c r="BP338" i="2"/>
  <c r="BP339" i="2"/>
  <c r="BP340" i="2"/>
  <c r="BP341" i="2"/>
  <c r="BP352" i="2"/>
  <c r="BP353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G342" i="2" s="1"/>
  <c r="AF341" i="2"/>
  <c r="AF340" i="2"/>
  <c r="AF339" i="2"/>
  <c r="AF338" i="2"/>
  <c r="AG338" i="2" s="1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G318" i="2" s="1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G306" i="2" s="1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G294" i="2" s="1"/>
  <c r="AF293" i="2"/>
  <c r="AF292" i="2"/>
  <c r="AF291" i="2"/>
  <c r="AF290" i="2"/>
  <c r="AG290" i="2" s="1"/>
  <c r="AF289" i="2"/>
  <c r="AF288" i="2"/>
  <c r="AF287" i="2"/>
  <c r="AF286" i="2"/>
  <c r="AF285" i="2"/>
  <c r="AF284" i="2"/>
  <c r="AG284" i="2" s="1"/>
  <c r="AF283" i="2"/>
  <c r="AF282" i="2"/>
  <c r="AG282" i="2" s="1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G246" i="2" s="1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G164" i="2" s="1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G150" i="2" s="1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G126" i="2" s="1"/>
  <c r="AF125" i="2"/>
  <c r="AF124" i="2"/>
  <c r="AF123" i="2"/>
  <c r="AF122" i="2"/>
  <c r="AF121" i="2"/>
  <c r="AF120" i="2"/>
  <c r="AF119" i="2"/>
  <c r="AF118" i="2"/>
  <c r="AF117" i="2"/>
  <c r="AF116" i="2"/>
  <c r="AG116" i="2" s="1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G104" i="2" s="1"/>
  <c r="AF103" i="2"/>
  <c r="AF102" i="2"/>
  <c r="AG102" i="2" s="1"/>
  <c r="AF101" i="2"/>
  <c r="AF100" i="2"/>
  <c r="AF99" i="2"/>
  <c r="AF98" i="2"/>
  <c r="AF97" i="2"/>
  <c r="AF96" i="2"/>
  <c r="AF95" i="2"/>
  <c r="AF94" i="2"/>
  <c r="AF93" i="2"/>
  <c r="AF92" i="2"/>
  <c r="AG92" i="2" s="1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G78" i="2" s="1"/>
  <c r="AF77" i="2"/>
  <c r="AF76" i="2"/>
  <c r="AF75" i="2"/>
  <c r="AF74" i="2"/>
  <c r="AG74" i="2" s="1"/>
  <c r="AF73" i="2"/>
  <c r="AF72" i="2"/>
  <c r="AF71" i="2"/>
  <c r="AF70" i="2"/>
  <c r="AF69" i="2"/>
  <c r="AF68" i="2"/>
  <c r="AF67" i="2"/>
  <c r="AF66" i="2"/>
  <c r="AG66" i="2" s="1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G42" i="2" s="1"/>
  <c r="AF41" i="2"/>
  <c r="AF40" i="2"/>
  <c r="AF39" i="2"/>
  <c r="AF38" i="2"/>
  <c r="AG38" i="2" s="1"/>
  <c r="AF37" i="2"/>
  <c r="AF36" i="2"/>
  <c r="AF35" i="2"/>
  <c r="AF34" i="2"/>
  <c r="AF33" i="2"/>
  <c r="AF32" i="2"/>
  <c r="AF31" i="2"/>
  <c r="AF30" i="2"/>
  <c r="AF29" i="2"/>
  <c r="AF28" i="2"/>
  <c r="AF27" i="2"/>
  <c r="AF26" i="2"/>
  <c r="AG26" i="2" s="1"/>
  <c r="AF25" i="2"/>
  <c r="AF24" i="2"/>
  <c r="AF23" i="2"/>
  <c r="AF22" i="2"/>
  <c r="AF21" i="2"/>
  <c r="AF20" i="2"/>
  <c r="AF19" i="2"/>
  <c r="AF18" i="2"/>
  <c r="AF17" i="2"/>
  <c r="Z353" i="2"/>
  <c r="Y353" i="2" s="1"/>
  <c r="Z352" i="2"/>
  <c r="Y352" i="2" s="1"/>
  <c r="Z351" i="2"/>
  <c r="Y351" i="2" s="1"/>
  <c r="Z350" i="2"/>
  <c r="Y350" i="2" s="1"/>
  <c r="Z349" i="2"/>
  <c r="Y349" i="2" s="1"/>
  <c r="Z348" i="2"/>
  <c r="Y348" i="2" s="1"/>
  <c r="Z347" i="2"/>
  <c r="Y347" i="2" s="1"/>
  <c r="Z346" i="2"/>
  <c r="Y346" i="2" s="1"/>
  <c r="Z345" i="2"/>
  <c r="Y345" i="2" s="1"/>
  <c r="Z344" i="2"/>
  <c r="Y344" i="2" s="1"/>
  <c r="Z343" i="2"/>
  <c r="Y343" i="2" s="1"/>
  <c r="Z342" i="2"/>
  <c r="Z341" i="2"/>
  <c r="Y341" i="2" s="1"/>
  <c r="Z340" i="2"/>
  <c r="Y340" i="2" s="1"/>
  <c r="Z339" i="2"/>
  <c r="Y339" i="2" s="1"/>
  <c r="Z338" i="2"/>
  <c r="Y338" i="2" s="1"/>
  <c r="Z337" i="2"/>
  <c r="Y337" i="2" s="1"/>
  <c r="Z336" i="2"/>
  <c r="Y336" i="2" s="1"/>
  <c r="Z335" i="2"/>
  <c r="Y335" i="2" s="1"/>
  <c r="Z334" i="2"/>
  <c r="Y334" i="2" s="1"/>
  <c r="Z333" i="2"/>
  <c r="Y333" i="2" s="1"/>
  <c r="Z332" i="2"/>
  <c r="Y332" i="2" s="1"/>
  <c r="Z331" i="2"/>
  <c r="Y331" i="2" s="1"/>
  <c r="Z330" i="2"/>
  <c r="Z329" i="2"/>
  <c r="Y329" i="2" s="1"/>
  <c r="Z328" i="2"/>
  <c r="Y328" i="2" s="1"/>
  <c r="Z327" i="2"/>
  <c r="Y327" i="2" s="1"/>
  <c r="Z326" i="2"/>
  <c r="Y326" i="2" s="1"/>
  <c r="Z325" i="2"/>
  <c r="Y325" i="2" s="1"/>
  <c r="Z324" i="2"/>
  <c r="Y324" i="2" s="1"/>
  <c r="Z323" i="2"/>
  <c r="Y323" i="2" s="1"/>
  <c r="Z322" i="2"/>
  <c r="Y322" i="2" s="1"/>
  <c r="Z321" i="2"/>
  <c r="Y321" i="2" s="1"/>
  <c r="Z320" i="2"/>
  <c r="Y320" i="2" s="1"/>
  <c r="Z319" i="2"/>
  <c r="Y319" i="2" s="1"/>
  <c r="Z318" i="2"/>
  <c r="Z317" i="2"/>
  <c r="Y317" i="2" s="1"/>
  <c r="Z316" i="2"/>
  <c r="Y316" i="2" s="1"/>
  <c r="Z315" i="2"/>
  <c r="Y315" i="2" s="1"/>
  <c r="Z314" i="2"/>
  <c r="Y314" i="2" s="1"/>
  <c r="Z313" i="2"/>
  <c r="Y313" i="2" s="1"/>
  <c r="Z312" i="2"/>
  <c r="Y312" i="2" s="1"/>
  <c r="Z311" i="2"/>
  <c r="Y311" i="2" s="1"/>
  <c r="Z310" i="2"/>
  <c r="Y310" i="2" s="1"/>
  <c r="Z309" i="2"/>
  <c r="Y309" i="2" s="1"/>
  <c r="Z308" i="2"/>
  <c r="Y308" i="2" s="1"/>
  <c r="Z307" i="2"/>
  <c r="Y307" i="2" s="1"/>
  <c r="Z306" i="2"/>
  <c r="Z305" i="2"/>
  <c r="Y305" i="2" s="1"/>
  <c r="Z304" i="2"/>
  <c r="Y304" i="2" s="1"/>
  <c r="Z303" i="2"/>
  <c r="Y303" i="2" s="1"/>
  <c r="Z302" i="2"/>
  <c r="Y302" i="2" s="1"/>
  <c r="Z301" i="2"/>
  <c r="Y301" i="2" s="1"/>
  <c r="Z300" i="2"/>
  <c r="Y300" i="2" s="1"/>
  <c r="Z299" i="2"/>
  <c r="Y299" i="2" s="1"/>
  <c r="Z298" i="2"/>
  <c r="Y298" i="2" s="1"/>
  <c r="Z297" i="2"/>
  <c r="Y297" i="2" s="1"/>
  <c r="Z296" i="2"/>
  <c r="Y296" i="2" s="1"/>
  <c r="Z295" i="2"/>
  <c r="Y295" i="2" s="1"/>
  <c r="Z294" i="2"/>
  <c r="Z293" i="2"/>
  <c r="Y293" i="2" s="1"/>
  <c r="Z292" i="2"/>
  <c r="Y292" i="2" s="1"/>
  <c r="Z291" i="2"/>
  <c r="Y291" i="2" s="1"/>
  <c r="Z290" i="2"/>
  <c r="Y290" i="2" s="1"/>
  <c r="Z289" i="2"/>
  <c r="Y289" i="2" s="1"/>
  <c r="Z288" i="2"/>
  <c r="Y288" i="2" s="1"/>
  <c r="Z287" i="2"/>
  <c r="Y287" i="2" s="1"/>
  <c r="Z286" i="2"/>
  <c r="Y286" i="2" s="1"/>
  <c r="Z285" i="2"/>
  <c r="Y285" i="2" s="1"/>
  <c r="Z284" i="2"/>
  <c r="Y284" i="2" s="1"/>
  <c r="Z283" i="2"/>
  <c r="Y283" i="2" s="1"/>
  <c r="Z282" i="2"/>
  <c r="Z281" i="2"/>
  <c r="Y281" i="2" s="1"/>
  <c r="Z280" i="2"/>
  <c r="Y280" i="2" s="1"/>
  <c r="Z279" i="2"/>
  <c r="Y279" i="2" s="1"/>
  <c r="Z278" i="2"/>
  <c r="Y278" i="2" s="1"/>
  <c r="Z277" i="2"/>
  <c r="Y277" i="2" s="1"/>
  <c r="Z276" i="2"/>
  <c r="Y276" i="2" s="1"/>
  <c r="Z275" i="2"/>
  <c r="Y275" i="2" s="1"/>
  <c r="Z274" i="2"/>
  <c r="Y274" i="2" s="1"/>
  <c r="Z273" i="2"/>
  <c r="Y273" i="2" s="1"/>
  <c r="Z272" i="2"/>
  <c r="Y272" i="2" s="1"/>
  <c r="Z271" i="2"/>
  <c r="Y271" i="2" s="1"/>
  <c r="Z270" i="2"/>
  <c r="Z269" i="2"/>
  <c r="Y269" i="2" s="1"/>
  <c r="Z268" i="2"/>
  <c r="Y268" i="2" s="1"/>
  <c r="Z267" i="2"/>
  <c r="Y267" i="2" s="1"/>
  <c r="Z266" i="2"/>
  <c r="Y266" i="2" s="1"/>
  <c r="Z265" i="2"/>
  <c r="Y265" i="2" s="1"/>
  <c r="Z264" i="2"/>
  <c r="Y264" i="2" s="1"/>
  <c r="Z263" i="2"/>
  <c r="Y263" i="2" s="1"/>
  <c r="Z262" i="2"/>
  <c r="Y262" i="2" s="1"/>
  <c r="Z261" i="2"/>
  <c r="Y261" i="2" s="1"/>
  <c r="Z260" i="2"/>
  <c r="Y260" i="2" s="1"/>
  <c r="Z259" i="2"/>
  <c r="Y259" i="2" s="1"/>
  <c r="Z258" i="2"/>
  <c r="Z257" i="2"/>
  <c r="Y257" i="2" s="1"/>
  <c r="Z256" i="2"/>
  <c r="Y256" i="2" s="1"/>
  <c r="Z255" i="2"/>
  <c r="Y255" i="2" s="1"/>
  <c r="Z254" i="2"/>
  <c r="Y254" i="2" s="1"/>
  <c r="Z253" i="2"/>
  <c r="Y253" i="2" s="1"/>
  <c r="Z252" i="2"/>
  <c r="Y252" i="2" s="1"/>
  <c r="Z251" i="2"/>
  <c r="Y251" i="2" s="1"/>
  <c r="Z250" i="2"/>
  <c r="Y250" i="2" s="1"/>
  <c r="Z249" i="2"/>
  <c r="Y249" i="2" s="1"/>
  <c r="Z248" i="2"/>
  <c r="Y248" i="2" s="1"/>
  <c r="Z247" i="2"/>
  <c r="Y247" i="2" s="1"/>
  <c r="Z246" i="2"/>
  <c r="Z245" i="2"/>
  <c r="Y245" i="2" s="1"/>
  <c r="Z244" i="2"/>
  <c r="Y244" i="2" s="1"/>
  <c r="Z243" i="2"/>
  <c r="Y243" i="2" s="1"/>
  <c r="Z242" i="2"/>
  <c r="Y242" i="2" s="1"/>
  <c r="Z241" i="2"/>
  <c r="Y241" i="2" s="1"/>
  <c r="Z240" i="2"/>
  <c r="Y240" i="2" s="1"/>
  <c r="Z239" i="2"/>
  <c r="Y239" i="2" s="1"/>
  <c r="Z238" i="2"/>
  <c r="Y238" i="2" s="1"/>
  <c r="Z237" i="2"/>
  <c r="Y237" i="2" s="1"/>
  <c r="Z236" i="2"/>
  <c r="Y236" i="2" s="1"/>
  <c r="Z235" i="2"/>
  <c r="Y235" i="2" s="1"/>
  <c r="Z234" i="2"/>
  <c r="Z233" i="2"/>
  <c r="Y233" i="2" s="1"/>
  <c r="Z232" i="2"/>
  <c r="Y232" i="2" s="1"/>
  <c r="Z231" i="2"/>
  <c r="Y231" i="2" s="1"/>
  <c r="Z230" i="2"/>
  <c r="Y230" i="2" s="1"/>
  <c r="Z229" i="2"/>
  <c r="Y229" i="2" s="1"/>
  <c r="Z228" i="2"/>
  <c r="Y228" i="2" s="1"/>
  <c r="Z227" i="2"/>
  <c r="Y227" i="2" s="1"/>
  <c r="Z226" i="2"/>
  <c r="Y226" i="2" s="1"/>
  <c r="Z225" i="2"/>
  <c r="Y225" i="2" s="1"/>
  <c r="Z224" i="2"/>
  <c r="Y224" i="2" s="1"/>
  <c r="Z223" i="2"/>
  <c r="Y223" i="2" s="1"/>
  <c r="Z222" i="2"/>
  <c r="Z221" i="2"/>
  <c r="Y221" i="2" s="1"/>
  <c r="Z220" i="2"/>
  <c r="Y220" i="2" s="1"/>
  <c r="Z219" i="2"/>
  <c r="Y219" i="2" s="1"/>
  <c r="Z218" i="2"/>
  <c r="Y218" i="2" s="1"/>
  <c r="Z217" i="2"/>
  <c r="Y217" i="2" s="1"/>
  <c r="Z216" i="2"/>
  <c r="Y216" i="2" s="1"/>
  <c r="Z215" i="2"/>
  <c r="Y215" i="2" s="1"/>
  <c r="Z214" i="2"/>
  <c r="Y214" i="2" s="1"/>
  <c r="Z213" i="2"/>
  <c r="Y213" i="2" s="1"/>
  <c r="Z212" i="2"/>
  <c r="Y212" i="2" s="1"/>
  <c r="Z211" i="2"/>
  <c r="Y211" i="2" s="1"/>
  <c r="Z210" i="2"/>
  <c r="Z209" i="2"/>
  <c r="Y209" i="2" s="1"/>
  <c r="Z208" i="2"/>
  <c r="Y208" i="2" s="1"/>
  <c r="Z207" i="2"/>
  <c r="Y207" i="2" s="1"/>
  <c r="Z206" i="2"/>
  <c r="Y206" i="2" s="1"/>
  <c r="Z205" i="2"/>
  <c r="Y205" i="2" s="1"/>
  <c r="Z204" i="2"/>
  <c r="Y204" i="2" s="1"/>
  <c r="Z203" i="2"/>
  <c r="Y203" i="2" s="1"/>
  <c r="Z202" i="2"/>
  <c r="Y202" i="2" s="1"/>
  <c r="Z201" i="2"/>
  <c r="Y201" i="2" s="1"/>
  <c r="Z200" i="2"/>
  <c r="Y200" i="2" s="1"/>
  <c r="Z199" i="2"/>
  <c r="Y199" i="2" s="1"/>
  <c r="Z198" i="2"/>
  <c r="Z197" i="2"/>
  <c r="Y197" i="2" s="1"/>
  <c r="Z196" i="2"/>
  <c r="Y196" i="2" s="1"/>
  <c r="Z195" i="2"/>
  <c r="Y195" i="2" s="1"/>
  <c r="Z194" i="2"/>
  <c r="Y194" i="2" s="1"/>
  <c r="Z193" i="2"/>
  <c r="Y193" i="2" s="1"/>
  <c r="Z192" i="2"/>
  <c r="Y192" i="2" s="1"/>
  <c r="Z191" i="2"/>
  <c r="Y191" i="2" s="1"/>
  <c r="Z190" i="2"/>
  <c r="Y190" i="2" s="1"/>
  <c r="Z189" i="2"/>
  <c r="Y189" i="2" s="1"/>
  <c r="Z188" i="2"/>
  <c r="Y188" i="2" s="1"/>
  <c r="Z187" i="2"/>
  <c r="Y187" i="2" s="1"/>
  <c r="Z186" i="2"/>
  <c r="Z185" i="2"/>
  <c r="Y185" i="2" s="1"/>
  <c r="Z184" i="2"/>
  <c r="Y184" i="2" s="1"/>
  <c r="Z183" i="2"/>
  <c r="Y183" i="2" s="1"/>
  <c r="Z182" i="2"/>
  <c r="Y182" i="2" s="1"/>
  <c r="Z181" i="2"/>
  <c r="Y181" i="2" s="1"/>
  <c r="Z180" i="2"/>
  <c r="Y180" i="2" s="1"/>
  <c r="Z179" i="2"/>
  <c r="Y179" i="2" s="1"/>
  <c r="Z178" i="2"/>
  <c r="Y178" i="2" s="1"/>
  <c r="Z177" i="2"/>
  <c r="Y177" i="2" s="1"/>
  <c r="Z176" i="2"/>
  <c r="Y176" i="2" s="1"/>
  <c r="Z175" i="2"/>
  <c r="Y175" i="2" s="1"/>
  <c r="Z174" i="2"/>
  <c r="Z173" i="2"/>
  <c r="Y173" i="2" s="1"/>
  <c r="Z172" i="2"/>
  <c r="Y172" i="2" s="1"/>
  <c r="Z171" i="2"/>
  <c r="Y171" i="2" s="1"/>
  <c r="Z170" i="2"/>
  <c r="Y170" i="2" s="1"/>
  <c r="Z169" i="2"/>
  <c r="Y169" i="2" s="1"/>
  <c r="Z168" i="2"/>
  <c r="Y168" i="2" s="1"/>
  <c r="Z167" i="2"/>
  <c r="Y167" i="2" s="1"/>
  <c r="Z166" i="2"/>
  <c r="Y166" i="2" s="1"/>
  <c r="Z165" i="2"/>
  <c r="Y165" i="2" s="1"/>
  <c r="Z164" i="2"/>
  <c r="Y164" i="2" s="1"/>
  <c r="Z163" i="2"/>
  <c r="Y163" i="2" s="1"/>
  <c r="Z162" i="2"/>
  <c r="Z161" i="2"/>
  <c r="Y161" i="2" s="1"/>
  <c r="Z160" i="2"/>
  <c r="Y160" i="2" s="1"/>
  <c r="Z159" i="2"/>
  <c r="Y159" i="2" s="1"/>
  <c r="Z158" i="2"/>
  <c r="Y158" i="2" s="1"/>
  <c r="Z157" i="2"/>
  <c r="Y157" i="2" s="1"/>
  <c r="Z156" i="2"/>
  <c r="Y156" i="2" s="1"/>
  <c r="Z155" i="2"/>
  <c r="Y155" i="2" s="1"/>
  <c r="Z154" i="2"/>
  <c r="Y154" i="2" s="1"/>
  <c r="Z153" i="2"/>
  <c r="Y153" i="2" s="1"/>
  <c r="Z152" i="2"/>
  <c r="Y152" i="2" s="1"/>
  <c r="Z151" i="2"/>
  <c r="Y151" i="2" s="1"/>
  <c r="Z150" i="2"/>
  <c r="Z149" i="2"/>
  <c r="Y149" i="2" s="1"/>
  <c r="Z148" i="2"/>
  <c r="Y148" i="2" s="1"/>
  <c r="Z147" i="2"/>
  <c r="Y147" i="2" s="1"/>
  <c r="Z146" i="2"/>
  <c r="Y146" i="2" s="1"/>
  <c r="Z145" i="2"/>
  <c r="Y145" i="2" s="1"/>
  <c r="Z144" i="2"/>
  <c r="Y144" i="2" s="1"/>
  <c r="Z143" i="2"/>
  <c r="Y143" i="2" s="1"/>
  <c r="Z142" i="2"/>
  <c r="Y142" i="2" s="1"/>
  <c r="Z141" i="2"/>
  <c r="Y141" i="2" s="1"/>
  <c r="Z140" i="2"/>
  <c r="Y140" i="2" s="1"/>
  <c r="Z139" i="2"/>
  <c r="Y139" i="2" s="1"/>
  <c r="Z138" i="2"/>
  <c r="Z137" i="2"/>
  <c r="Y137" i="2" s="1"/>
  <c r="Z136" i="2"/>
  <c r="Y136" i="2" s="1"/>
  <c r="Z135" i="2"/>
  <c r="Y135" i="2" s="1"/>
  <c r="Z134" i="2"/>
  <c r="Y134" i="2" s="1"/>
  <c r="Z133" i="2"/>
  <c r="Y133" i="2" s="1"/>
  <c r="Z132" i="2"/>
  <c r="Y132" i="2" s="1"/>
  <c r="Z131" i="2"/>
  <c r="Y131" i="2" s="1"/>
  <c r="Z130" i="2"/>
  <c r="Y130" i="2" s="1"/>
  <c r="Z129" i="2"/>
  <c r="Y129" i="2" s="1"/>
  <c r="Z128" i="2"/>
  <c r="Y128" i="2" s="1"/>
  <c r="Z127" i="2"/>
  <c r="Y127" i="2" s="1"/>
  <c r="Z126" i="2"/>
  <c r="Z125" i="2"/>
  <c r="Y125" i="2" s="1"/>
  <c r="Z124" i="2"/>
  <c r="Y124" i="2" s="1"/>
  <c r="Z123" i="2"/>
  <c r="Y123" i="2" s="1"/>
  <c r="Z122" i="2"/>
  <c r="Y122" i="2" s="1"/>
  <c r="Z121" i="2"/>
  <c r="Y121" i="2" s="1"/>
  <c r="Z120" i="2"/>
  <c r="Y120" i="2" s="1"/>
  <c r="Z119" i="2"/>
  <c r="Y119" i="2" s="1"/>
  <c r="Z118" i="2"/>
  <c r="Y118" i="2" s="1"/>
  <c r="Z117" i="2"/>
  <c r="Y117" i="2" s="1"/>
  <c r="Z116" i="2"/>
  <c r="Y116" i="2" s="1"/>
  <c r="Z115" i="2"/>
  <c r="Y115" i="2" s="1"/>
  <c r="Z114" i="2"/>
  <c r="Z113" i="2"/>
  <c r="Y113" i="2" s="1"/>
  <c r="Z112" i="2"/>
  <c r="Y112" i="2" s="1"/>
  <c r="Z111" i="2"/>
  <c r="Y111" i="2" s="1"/>
  <c r="Z110" i="2"/>
  <c r="Y110" i="2" s="1"/>
  <c r="Z109" i="2"/>
  <c r="Y109" i="2" s="1"/>
  <c r="Z108" i="2"/>
  <c r="Y108" i="2" s="1"/>
  <c r="Z107" i="2"/>
  <c r="Y107" i="2" s="1"/>
  <c r="Z106" i="2"/>
  <c r="Y106" i="2" s="1"/>
  <c r="Z105" i="2"/>
  <c r="Y105" i="2" s="1"/>
  <c r="Z104" i="2"/>
  <c r="Y104" i="2" s="1"/>
  <c r="Z103" i="2"/>
  <c r="Y103" i="2" s="1"/>
  <c r="Z102" i="2"/>
  <c r="Z101" i="2"/>
  <c r="Y101" i="2" s="1"/>
  <c r="Z100" i="2"/>
  <c r="Y100" i="2" s="1"/>
  <c r="Z99" i="2"/>
  <c r="Y99" i="2" s="1"/>
  <c r="Z98" i="2"/>
  <c r="Y98" i="2" s="1"/>
  <c r="Z97" i="2"/>
  <c r="Y97" i="2" s="1"/>
  <c r="Z96" i="2"/>
  <c r="Y96" i="2" s="1"/>
  <c r="Z95" i="2"/>
  <c r="Y95" i="2" s="1"/>
  <c r="Z94" i="2"/>
  <c r="Y94" i="2" s="1"/>
  <c r="Z93" i="2"/>
  <c r="Y93" i="2" s="1"/>
  <c r="Z92" i="2"/>
  <c r="Y92" i="2" s="1"/>
  <c r="Z91" i="2"/>
  <c r="Y91" i="2" s="1"/>
  <c r="Z90" i="2"/>
  <c r="Z89" i="2"/>
  <c r="Y89" i="2" s="1"/>
  <c r="Z88" i="2"/>
  <c r="Y88" i="2" s="1"/>
  <c r="Z87" i="2"/>
  <c r="Y87" i="2" s="1"/>
  <c r="Z86" i="2"/>
  <c r="Y86" i="2" s="1"/>
  <c r="Z85" i="2"/>
  <c r="Y85" i="2" s="1"/>
  <c r="Z84" i="2"/>
  <c r="Y84" i="2" s="1"/>
  <c r="Z83" i="2"/>
  <c r="Y83" i="2" s="1"/>
  <c r="Z82" i="2"/>
  <c r="Y82" i="2" s="1"/>
  <c r="Z81" i="2"/>
  <c r="Y81" i="2" s="1"/>
  <c r="Z80" i="2"/>
  <c r="Y80" i="2" s="1"/>
  <c r="Z79" i="2"/>
  <c r="Y79" i="2" s="1"/>
  <c r="Z78" i="2"/>
  <c r="Z77" i="2"/>
  <c r="Y77" i="2" s="1"/>
  <c r="Z76" i="2"/>
  <c r="Y76" i="2" s="1"/>
  <c r="Z75" i="2"/>
  <c r="Y75" i="2" s="1"/>
  <c r="Z74" i="2"/>
  <c r="Y74" i="2" s="1"/>
  <c r="Z73" i="2"/>
  <c r="Y73" i="2" s="1"/>
  <c r="Z72" i="2"/>
  <c r="Y72" i="2" s="1"/>
  <c r="Z71" i="2"/>
  <c r="Y71" i="2" s="1"/>
  <c r="Z70" i="2"/>
  <c r="Y70" i="2" s="1"/>
  <c r="Z69" i="2"/>
  <c r="Y69" i="2" s="1"/>
  <c r="Z68" i="2"/>
  <c r="Y68" i="2" s="1"/>
  <c r="Z67" i="2"/>
  <c r="Y67" i="2" s="1"/>
  <c r="Z66" i="2"/>
  <c r="Z65" i="2"/>
  <c r="Y65" i="2" s="1"/>
  <c r="Z64" i="2"/>
  <c r="Y64" i="2" s="1"/>
  <c r="Z63" i="2"/>
  <c r="Y63" i="2" s="1"/>
  <c r="Z62" i="2"/>
  <c r="Y62" i="2" s="1"/>
  <c r="Z61" i="2"/>
  <c r="Y61" i="2" s="1"/>
  <c r="Z60" i="2"/>
  <c r="Y60" i="2" s="1"/>
  <c r="Z59" i="2"/>
  <c r="Y59" i="2" s="1"/>
  <c r="Z58" i="2"/>
  <c r="Y58" i="2" s="1"/>
  <c r="Z57" i="2"/>
  <c r="Y57" i="2" s="1"/>
  <c r="Z56" i="2"/>
  <c r="Y56" i="2" s="1"/>
  <c r="Z55" i="2"/>
  <c r="Y55" i="2" s="1"/>
  <c r="Z54" i="2"/>
  <c r="Z53" i="2"/>
  <c r="Y53" i="2" s="1"/>
  <c r="Z52" i="2"/>
  <c r="Y52" i="2" s="1"/>
  <c r="Z51" i="2"/>
  <c r="Y51" i="2" s="1"/>
  <c r="Z50" i="2"/>
  <c r="Y50" i="2" s="1"/>
  <c r="Z49" i="2"/>
  <c r="Y49" i="2" s="1"/>
  <c r="Z48" i="2"/>
  <c r="Y48" i="2" s="1"/>
  <c r="Z47" i="2"/>
  <c r="Y47" i="2" s="1"/>
  <c r="Z46" i="2"/>
  <c r="Y46" i="2" s="1"/>
  <c r="Z45" i="2"/>
  <c r="Y45" i="2" s="1"/>
  <c r="Z44" i="2"/>
  <c r="Y44" i="2" s="1"/>
  <c r="Z43" i="2"/>
  <c r="Y43" i="2" s="1"/>
  <c r="Z42" i="2"/>
  <c r="Z41" i="2"/>
  <c r="Y41" i="2" s="1"/>
  <c r="Z40" i="2"/>
  <c r="Y40" i="2" s="1"/>
  <c r="Z39" i="2"/>
  <c r="Y39" i="2" s="1"/>
  <c r="Z38" i="2"/>
  <c r="Y38" i="2" s="1"/>
  <c r="Z37" i="2"/>
  <c r="Y37" i="2" s="1"/>
  <c r="Z36" i="2"/>
  <c r="Y36" i="2" s="1"/>
  <c r="Z35" i="2"/>
  <c r="Y35" i="2" s="1"/>
  <c r="Z34" i="2"/>
  <c r="Y34" i="2" s="1"/>
  <c r="Z33" i="2"/>
  <c r="Y33" i="2" s="1"/>
  <c r="Z32" i="2"/>
  <c r="Y32" i="2" s="1"/>
  <c r="Z31" i="2"/>
  <c r="Y31" i="2" s="1"/>
  <c r="Z30" i="2"/>
  <c r="Z29" i="2"/>
  <c r="Y29" i="2" s="1"/>
  <c r="Z28" i="2"/>
  <c r="Y28" i="2" s="1"/>
  <c r="Z27" i="2"/>
  <c r="Y27" i="2" s="1"/>
  <c r="Z26" i="2"/>
  <c r="Y26" i="2" s="1"/>
  <c r="Z25" i="2"/>
  <c r="Y25" i="2" s="1"/>
  <c r="Z24" i="2"/>
  <c r="Y24" i="2" s="1"/>
  <c r="Z23" i="2"/>
  <c r="Y23" i="2" s="1"/>
  <c r="Z22" i="2"/>
  <c r="Y22" i="2" s="1"/>
  <c r="Z21" i="2"/>
  <c r="Y21" i="2" s="1"/>
  <c r="Z20" i="2"/>
  <c r="Y20" i="2" s="1"/>
  <c r="Z19" i="2"/>
  <c r="Y19" i="2" s="1"/>
  <c r="Z18" i="2"/>
  <c r="Z17" i="2"/>
  <c r="Y17" i="2" s="1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U11" i="2"/>
  <c r="U10" i="2"/>
  <c r="C10" i="2"/>
  <c r="V9" i="2"/>
  <c r="U9" i="2"/>
  <c r="C9" i="2"/>
  <c r="V8" i="2"/>
  <c r="U8" i="2"/>
  <c r="C8" i="2"/>
  <c r="U7" i="2"/>
  <c r="AG337" i="2"/>
  <c r="BM337" i="2"/>
  <c r="BN337" i="2"/>
  <c r="BP337" i="2"/>
  <c r="BM338" i="2"/>
  <c r="BN338" i="2"/>
  <c r="AG339" i="2"/>
  <c r="BM339" i="2"/>
  <c r="BN339" i="2"/>
  <c r="AG340" i="2"/>
  <c r="BM340" i="2"/>
  <c r="BN340" i="2"/>
  <c r="AG341" i="2"/>
  <c r="BM341" i="2"/>
  <c r="BN341" i="2"/>
  <c r="BM342" i="2"/>
  <c r="BN342" i="2"/>
  <c r="AG343" i="2"/>
  <c r="BM343" i="2"/>
  <c r="BN343" i="2"/>
  <c r="AG344" i="2"/>
  <c r="BM344" i="2"/>
  <c r="BN344" i="2"/>
  <c r="BP344" i="2"/>
  <c r="AG345" i="2"/>
  <c r="BM345" i="2"/>
  <c r="BN345" i="2"/>
  <c r="BO345" i="2" s="1"/>
  <c r="BP345" i="2"/>
  <c r="AG346" i="2"/>
  <c r="BM346" i="2"/>
  <c r="BN346" i="2"/>
  <c r="BP346" i="2"/>
  <c r="AG347" i="2"/>
  <c r="BM347" i="2"/>
  <c r="BN347" i="2"/>
  <c r="BP347" i="2"/>
  <c r="AG348" i="2"/>
  <c r="BM348" i="2"/>
  <c r="BN348" i="2"/>
  <c r="BP348" i="2"/>
  <c r="AG349" i="2"/>
  <c r="BM349" i="2"/>
  <c r="BN349" i="2"/>
  <c r="BO349" i="2" s="1"/>
  <c r="BP349" i="2"/>
  <c r="AG350" i="2"/>
  <c r="BM350" i="2"/>
  <c r="BN350" i="2"/>
  <c r="BP350" i="2"/>
  <c r="AG351" i="2"/>
  <c r="BM351" i="2"/>
  <c r="BN351" i="2"/>
  <c r="BO351" i="2" s="1"/>
  <c r="BP351" i="2"/>
  <c r="AG352" i="2"/>
  <c r="BM352" i="2"/>
  <c r="BN352" i="2"/>
  <c r="AG353" i="2"/>
  <c r="BM353" i="2"/>
  <c r="BN353" i="2"/>
  <c r="AG316" i="2"/>
  <c r="BM316" i="2"/>
  <c r="BN316" i="2"/>
  <c r="AG317" i="2"/>
  <c r="BM317" i="2"/>
  <c r="BN317" i="2"/>
  <c r="BM318" i="2"/>
  <c r="BN318" i="2"/>
  <c r="AG319" i="2"/>
  <c r="BM319" i="2"/>
  <c r="BN319" i="2"/>
  <c r="AG320" i="2"/>
  <c r="BM320" i="2"/>
  <c r="BN320" i="2"/>
  <c r="BP320" i="2"/>
  <c r="AG321" i="2"/>
  <c r="BM321" i="2"/>
  <c r="BN321" i="2"/>
  <c r="BO321" i="2" s="1"/>
  <c r="BP321" i="2"/>
  <c r="AG322" i="2"/>
  <c r="BM322" i="2"/>
  <c r="BN322" i="2"/>
  <c r="BP322" i="2"/>
  <c r="AG323" i="2"/>
  <c r="BM323" i="2"/>
  <c r="BN323" i="2"/>
  <c r="BO323" i="2" s="1"/>
  <c r="BP323" i="2"/>
  <c r="AG324" i="2"/>
  <c r="BM324" i="2"/>
  <c r="BN324" i="2"/>
  <c r="AG325" i="2"/>
  <c r="BM325" i="2"/>
  <c r="BN325" i="2"/>
  <c r="AG326" i="2"/>
  <c r="BM326" i="2"/>
  <c r="BN326" i="2"/>
  <c r="BP326" i="2"/>
  <c r="AG327" i="2"/>
  <c r="BM327" i="2"/>
  <c r="BN327" i="2"/>
  <c r="BP327" i="2"/>
  <c r="AG328" i="2"/>
  <c r="BM328" i="2"/>
  <c r="BN328" i="2"/>
  <c r="BP328" i="2"/>
  <c r="AG329" i="2"/>
  <c r="BM329" i="2"/>
  <c r="BN329" i="2"/>
  <c r="AG330" i="2"/>
  <c r="BM330" i="2"/>
  <c r="BN330" i="2"/>
  <c r="AG331" i="2"/>
  <c r="BM331" i="2"/>
  <c r="BN331" i="2"/>
  <c r="AG332" i="2"/>
  <c r="BM332" i="2"/>
  <c r="BN332" i="2"/>
  <c r="BP332" i="2"/>
  <c r="AG333" i="2"/>
  <c r="BM333" i="2"/>
  <c r="BN333" i="2"/>
  <c r="BO333" i="2" s="1"/>
  <c r="BP333" i="2"/>
  <c r="AG334" i="2"/>
  <c r="BM334" i="2"/>
  <c r="BN334" i="2"/>
  <c r="BO334" i="2" s="1"/>
  <c r="BP334" i="2"/>
  <c r="AG335" i="2"/>
  <c r="BM335" i="2"/>
  <c r="BN335" i="2"/>
  <c r="BO335" i="2" s="1"/>
  <c r="BP335" i="2"/>
  <c r="AG336" i="2"/>
  <c r="BM336" i="2"/>
  <c r="BN336" i="2"/>
  <c r="BO336" i="2" s="1"/>
  <c r="BP336" i="2"/>
  <c r="AG295" i="2"/>
  <c r="BM295" i="2"/>
  <c r="BN295" i="2"/>
  <c r="AG296" i="2"/>
  <c r="BM296" i="2"/>
  <c r="BN296" i="2"/>
  <c r="AG297" i="2"/>
  <c r="BM297" i="2"/>
  <c r="BN297" i="2"/>
  <c r="AG298" i="2"/>
  <c r="BM298" i="2"/>
  <c r="BN298" i="2"/>
  <c r="BP298" i="2"/>
  <c r="AG299" i="2"/>
  <c r="BM299" i="2"/>
  <c r="BN299" i="2"/>
  <c r="BO299" i="2" s="1"/>
  <c r="BP299" i="2"/>
  <c r="AG300" i="2"/>
  <c r="BM300" i="2"/>
  <c r="BN300" i="2"/>
  <c r="BO300" i="2" s="1"/>
  <c r="BP300" i="2"/>
  <c r="AG301" i="2"/>
  <c r="BM301" i="2"/>
  <c r="BN301" i="2"/>
  <c r="BO301" i="2" s="1"/>
  <c r="BP301" i="2"/>
  <c r="AG302" i="2"/>
  <c r="BM302" i="2"/>
  <c r="BN302" i="2"/>
  <c r="BO302" i="2" s="1"/>
  <c r="BP302" i="2"/>
  <c r="AG303" i="2"/>
  <c r="BM303" i="2"/>
  <c r="BN303" i="2"/>
  <c r="BO303" i="2" s="1"/>
  <c r="BP303" i="2"/>
  <c r="AG304" i="2"/>
  <c r="BM304" i="2"/>
  <c r="BN304" i="2"/>
  <c r="BP304" i="2"/>
  <c r="AG305" i="2"/>
  <c r="BM305" i="2"/>
  <c r="BN305" i="2"/>
  <c r="BM306" i="2"/>
  <c r="BN306" i="2"/>
  <c r="AG307" i="2"/>
  <c r="BM307" i="2"/>
  <c r="BN307" i="2"/>
  <c r="AG308" i="2"/>
  <c r="BM308" i="2"/>
  <c r="BN308" i="2"/>
  <c r="BO308" i="2" s="1"/>
  <c r="BP308" i="2"/>
  <c r="AG309" i="2"/>
  <c r="BM309" i="2"/>
  <c r="BN309" i="2"/>
  <c r="BO309" i="2" s="1"/>
  <c r="BP309" i="2"/>
  <c r="AG310" i="2"/>
  <c r="BM310" i="2"/>
  <c r="BN310" i="2"/>
  <c r="BO310" i="2" s="1"/>
  <c r="AG311" i="2"/>
  <c r="BM311" i="2"/>
  <c r="BN311" i="2"/>
  <c r="AG312" i="2"/>
  <c r="BM312" i="2"/>
  <c r="BN312" i="2"/>
  <c r="BP312" i="2"/>
  <c r="AG313" i="2"/>
  <c r="BM313" i="2"/>
  <c r="BN313" i="2"/>
  <c r="BO313" i="2" s="1"/>
  <c r="BP313" i="2"/>
  <c r="AG314" i="2"/>
  <c r="BM314" i="2"/>
  <c r="BN314" i="2"/>
  <c r="BO314" i="2" s="1"/>
  <c r="BP314" i="2"/>
  <c r="AG315" i="2"/>
  <c r="BM315" i="2"/>
  <c r="BN315" i="2"/>
  <c r="BP315" i="2"/>
  <c r="AG274" i="2"/>
  <c r="BM274" i="2"/>
  <c r="BN274" i="2"/>
  <c r="BO274" i="2" s="1"/>
  <c r="BP274" i="2"/>
  <c r="AG275" i="2"/>
  <c r="BM275" i="2"/>
  <c r="BN275" i="2"/>
  <c r="BO275" i="2" s="1"/>
  <c r="BP275" i="2"/>
  <c r="AG276" i="2"/>
  <c r="BM276" i="2"/>
  <c r="BN276" i="2"/>
  <c r="BO276" i="2" s="1"/>
  <c r="BP276" i="2"/>
  <c r="AG277" i="2"/>
  <c r="BM277" i="2"/>
  <c r="BN277" i="2"/>
  <c r="BO277" i="2" s="1"/>
  <c r="BP277" i="2"/>
  <c r="AG278" i="2"/>
  <c r="BM278" i="2"/>
  <c r="BN278" i="2"/>
  <c r="BO278" i="2" s="1"/>
  <c r="BP278" i="2"/>
  <c r="AG279" i="2"/>
  <c r="BM279" i="2"/>
  <c r="BN279" i="2"/>
  <c r="BP279" i="2"/>
  <c r="AG280" i="2"/>
  <c r="BM280" i="2"/>
  <c r="BN280" i="2"/>
  <c r="AG281" i="2"/>
  <c r="BM281" i="2"/>
  <c r="BN281" i="2"/>
  <c r="BM282" i="2"/>
  <c r="BN282" i="2"/>
  <c r="AG283" i="2"/>
  <c r="BM283" i="2"/>
  <c r="BN283" i="2"/>
  <c r="BM284" i="2"/>
  <c r="BN284" i="2"/>
  <c r="BO284" i="2" s="1"/>
  <c r="BP284" i="2"/>
  <c r="AG285" i="2"/>
  <c r="BM285" i="2"/>
  <c r="BN285" i="2"/>
  <c r="BO285" i="2" s="1"/>
  <c r="BP285" i="2"/>
  <c r="AG286" i="2"/>
  <c r="BM286" i="2"/>
  <c r="BN286" i="2"/>
  <c r="BO286" i="2" s="1"/>
  <c r="BP286" i="2"/>
  <c r="AG287" i="2"/>
  <c r="BM287" i="2"/>
  <c r="BN287" i="2"/>
  <c r="BO287" i="2" s="1"/>
  <c r="BP287" i="2"/>
  <c r="AG288" i="2"/>
  <c r="BM288" i="2"/>
  <c r="BN288" i="2"/>
  <c r="BO288" i="2" s="1"/>
  <c r="BP288" i="2"/>
  <c r="AG289" i="2"/>
  <c r="BM289" i="2"/>
  <c r="BN289" i="2"/>
  <c r="BP289" i="2"/>
  <c r="BM290" i="2"/>
  <c r="BN290" i="2"/>
  <c r="BO290" i="2" s="1"/>
  <c r="BP290" i="2"/>
  <c r="AG291" i="2"/>
  <c r="BM291" i="2"/>
  <c r="BN291" i="2"/>
  <c r="BO291" i="2" s="1"/>
  <c r="BP291" i="2"/>
  <c r="AG292" i="2"/>
  <c r="BM292" i="2"/>
  <c r="BN292" i="2"/>
  <c r="AG293" i="2"/>
  <c r="BM293" i="2"/>
  <c r="BN293" i="2"/>
  <c r="BM294" i="2"/>
  <c r="BN294" i="2"/>
  <c r="AG253" i="2"/>
  <c r="BM253" i="2"/>
  <c r="BN253" i="2"/>
  <c r="AG254" i="2"/>
  <c r="BM254" i="2"/>
  <c r="BN254" i="2"/>
  <c r="BO254" i="2" s="1"/>
  <c r="BP254" i="2"/>
  <c r="AG255" i="2"/>
  <c r="BM255" i="2"/>
  <c r="BN255" i="2"/>
  <c r="BO255" i="2" s="1"/>
  <c r="BP255" i="2"/>
  <c r="AG256" i="2"/>
  <c r="BM256" i="2"/>
  <c r="BN256" i="2"/>
  <c r="AG257" i="2"/>
  <c r="BM257" i="2"/>
  <c r="BN257" i="2"/>
  <c r="AG258" i="2"/>
  <c r="BM258" i="2"/>
  <c r="BN258" i="2"/>
  <c r="AG259" i="2"/>
  <c r="BM259" i="2"/>
  <c r="BN259" i="2"/>
  <c r="AG260" i="2"/>
  <c r="BM260" i="2"/>
  <c r="BN260" i="2"/>
  <c r="BO260" i="2" s="1"/>
  <c r="BP260" i="2"/>
  <c r="AG261" i="2"/>
  <c r="BM261" i="2"/>
  <c r="BN261" i="2"/>
  <c r="BP261" i="2"/>
  <c r="AG262" i="2"/>
  <c r="BM262" i="2"/>
  <c r="BN262" i="2"/>
  <c r="BP262" i="2"/>
  <c r="AG263" i="2"/>
  <c r="BM263" i="2"/>
  <c r="BN263" i="2"/>
  <c r="BO263" i="2" s="1"/>
  <c r="BP263" i="2"/>
  <c r="AG264" i="2"/>
  <c r="BM264" i="2"/>
  <c r="BN264" i="2"/>
  <c r="BO264" i="2" s="1"/>
  <c r="BP264" i="2"/>
  <c r="AG265" i="2"/>
  <c r="BM265" i="2"/>
  <c r="BN265" i="2"/>
  <c r="BP265" i="2"/>
  <c r="AG266" i="2"/>
  <c r="BM266" i="2"/>
  <c r="BN266" i="2"/>
  <c r="AG267" i="2"/>
  <c r="BM267" i="2"/>
  <c r="BN267" i="2"/>
  <c r="AG268" i="2"/>
  <c r="BM268" i="2"/>
  <c r="BN268" i="2"/>
  <c r="AG269" i="2"/>
  <c r="BM269" i="2"/>
  <c r="BN269" i="2"/>
  <c r="AG270" i="2"/>
  <c r="BM270" i="2"/>
  <c r="BN270" i="2"/>
  <c r="AG271" i="2"/>
  <c r="BM271" i="2"/>
  <c r="BN271" i="2"/>
  <c r="AG272" i="2"/>
  <c r="BM272" i="2"/>
  <c r="BN272" i="2"/>
  <c r="BO272" i="2" s="1"/>
  <c r="BP272" i="2"/>
  <c r="AG273" i="2"/>
  <c r="BM273" i="2"/>
  <c r="BN273" i="2"/>
  <c r="BO273" i="2" s="1"/>
  <c r="BP273" i="2"/>
  <c r="AG232" i="2"/>
  <c r="BM232" i="2"/>
  <c r="BN232" i="2"/>
  <c r="AG233" i="2"/>
  <c r="BM233" i="2"/>
  <c r="BN233" i="2"/>
  <c r="AG234" i="2"/>
  <c r="BN234" i="2"/>
  <c r="AG235" i="2"/>
  <c r="BM235" i="2"/>
  <c r="BN235" i="2"/>
  <c r="AG236" i="2"/>
  <c r="BM236" i="2"/>
  <c r="BN236" i="2"/>
  <c r="AG237" i="2"/>
  <c r="BM237" i="2"/>
  <c r="BN237" i="2"/>
  <c r="BP237" i="2"/>
  <c r="AG238" i="2"/>
  <c r="BM238" i="2"/>
  <c r="BN238" i="2"/>
  <c r="BO238" i="2" s="1"/>
  <c r="BP238" i="2"/>
  <c r="AG239" i="2"/>
  <c r="BM239" i="2"/>
  <c r="BN239" i="2"/>
  <c r="AG240" i="2"/>
  <c r="BM240" i="2"/>
  <c r="BN240" i="2"/>
  <c r="BO240" i="2" s="1"/>
  <c r="BP240" i="2"/>
  <c r="AG241" i="2"/>
  <c r="BM241" i="2"/>
  <c r="BN241" i="2"/>
  <c r="BO241" i="2" s="1"/>
  <c r="BP241" i="2"/>
  <c r="AG242" i="2"/>
  <c r="BM242" i="2"/>
  <c r="BN242" i="2"/>
  <c r="BO242" i="2" s="1"/>
  <c r="BP242" i="2"/>
  <c r="AG243" i="2"/>
  <c r="BM243" i="2"/>
  <c r="BN243" i="2"/>
  <c r="BP243" i="2"/>
  <c r="AG244" i="2"/>
  <c r="BM244" i="2"/>
  <c r="BN244" i="2"/>
  <c r="AG245" i="2"/>
  <c r="BM245" i="2"/>
  <c r="BN245" i="2"/>
  <c r="BN246" i="2"/>
  <c r="AG247" i="2"/>
  <c r="BM247" i="2"/>
  <c r="BN247" i="2"/>
  <c r="AG248" i="2"/>
  <c r="BM248" i="2"/>
  <c r="BN248" i="2"/>
  <c r="BO248" i="2" s="1"/>
  <c r="BP248" i="2"/>
  <c r="AG249" i="2"/>
  <c r="BM249" i="2"/>
  <c r="BN249" i="2"/>
  <c r="BO249" i="2" s="1"/>
  <c r="BP249" i="2"/>
  <c r="AG250" i="2"/>
  <c r="BM250" i="2"/>
  <c r="BN250" i="2"/>
  <c r="BO250" i="2" s="1"/>
  <c r="BP250" i="2"/>
  <c r="AG251" i="2"/>
  <c r="BM251" i="2"/>
  <c r="BN251" i="2"/>
  <c r="BO251" i="2" s="1"/>
  <c r="BP251" i="2"/>
  <c r="AG252" i="2"/>
  <c r="BM252" i="2"/>
  <c r="BN252" i="2"/>
  <c r="AG211" i="2"/>
  <c r="BM211" i="2"/>
  <c r="BN211" i="2"/>
  <c r="AG212" i="2"/>
  <c r="BM212" i="2"/>
  <c r="BN212" i="2"/>
  <c r="AG213" i="2"/>
  <c r="BM213" i="2"/>
  <c r="BN213" i="2"/>
  <c r="BO213" i="2" s="1"/>
  <c r="BP213" i="2"/>
  <c r="AG214" i="2"/>
  <c r="BM214" i="2"/>
  <c r="BN214" i="2"/>
  <c r="BO214" i="2" s="1"/>
  <c r="BP214" i="2"/>
  <c r="AG215" i="2"/>
  <c r="BM215" i="2"/>
  <c r="BN215" i="2"/>
  <c r="BO215" i="2" s="1"/>
  <c r="BP215" i="2"/>
  <c r="AG216" i="2"/>
  <c r="BM216" i="2"/>
  <c r="BN216" i="2"/>
  <c r="BP216" i="2"/>
  <c r="AG217" i="2"/>
  <c r="BM217" i="2"/>
  <c r="BN217" i="2"/>
  <c r="BO217" i="2" s="1"/>
  <c r="BP217" i="2"/>
  <c r="AG218" i="2"/>
  <c r="BM218" i="2"/>
  <c r="BN218" i="2"/>
  <c r="BO218" i="2" s="1"/>
  <c r="BP218" i="2"/>
  <c r="AG219" i="2"/>
  <c r="BM219" i="2"/>
  <c r="BN219" i="2"/>
  <c r="BO219" i="2" s="1"/>
  <c r="BP219" i="2"/>
  <c r="AG220" i="2"/>
  <c r="BM220" i="2"/>
  <c r="BN220" i="2"/>
  <c r="AG221" i="2"/>
  <c r="BM221" i="2"/>
  <c r="BN221" i="2"/>
  <c r="AG222" i="2"/>
  <c r="BM222" i="2"/>
  <c r="BN222" i="2"/>
  <c r="AG223" i="2"/>
  <c r="BM223" i="2"/>
  <c r="BN223" i="2"/>
  <c r="AG224" i="2"/>
  <c r="BM224" i="2"/>
  <c r="BN224" i="2"/>
  <c r="AG225" i="2"/>
  <c r="BM225" i="2"/>
  <c r="BN225" i="2"/>
  <c r="BP225" i="2"/>
  <c r="AG226" i="2"/>
  <c r="BM226" i="2"/>
  <c r="BN226" i="2"/>
  <c r="BP226" i="2"/>
  <c r="AG227" i="2"/>
  <c r="BM227" i="2"/>
  <c r="BN227" i="2"/>
  <c r="BO227" i="2" s="1"/>
  <c r="BP227" i="2"/>
  <c r="AG228" i="2"/>
  <c r="BM228" i="2"/>
  <c r="BN228" i="2"/>
  <c r="BO228" i="2" s="1"/>
  <c r="BP228" i="2"/>
  <c r="AG229" i="2"/>
  <c r="BM229" i="2"/>
  <c r="BN229" i="2"/>
  <c r="BO229" i="2" s="1"/>
  <c r="BP229" i="2"/>
  <c r="AG230" i="2"/>
  <c r="BM230" i="2"/>
  <c r="BN230" i="2"/>
  <c r="BO230" i="2" s="1"/>
  <c r="BP230" i="2"/>
  <c r="AG231" i="2"/>
  <c r="BM231" i="2"/>
  <c r="BN231" i="2"/>
  <c r="BO231" i="2" s="1"/>
  <c r="BP231" i="2"/>
  <c r="AG190" i="2"/>
  <c r="BM190" i="2"/>
  <c r="BN190" i="2"/>
  <c r="BO190" i="2" s="1"/>
  <c r="BP190" i="2"/>
  <c r="AG191" i="2"/>
  <c r="BM191" i="2"/>
  <c r="BN191" i="2"/>
  <c r="AG192" i="2"/>
  <c r="BM192" i="2"/>
  <c r="BN192" i="2"/>
  <c r="BO192" i="2" s="1"/>
  <c r="BP192" i="2"/>
  <c r="AG193" i="2"/>
  <c r="BM193" i="2"/>
  <c r="BN193" i="2"/>
  <c r="BP193" i="2"/>
  <c r="AG194" i="2"/>
  <c r="BM194" i="2"/>
  <c r="BN194" i="2"/>
  <c r="BP194" i="2"/>
  <c r="AG195" i="2"/>
  <c r="BM195" i="2"/>
  <c r="BN195" i="2"/>
  <c r="BO195" i="2" s="1"/>
  <c r="BP195" i="2"/>
  <c r="AG196" i="2"/>
  <c r="BM196" i="2"/>
  <c r="BN196" i="2"/>
  <c r="AG197" i="2"/>
  <c r="BM197" i="2"/>
  <c r="BN197" i="2"/>
  <c r="AG198" i="2"/>
  <c r="BM198" i="2"/>
  <c r="BN198" i="2"/>
  <c r="AG199" i="2"/>
  <c r="BM199" i="2"/>
  <c r="BN199" i="2"/>
  <c r="AG200" i="2"/>
  <c r="BM200" i="2"/>
  <c r="BN200" i="2"/>
  <c r="AG201" i="2"/>
  <c r="BM201" i="2"/>
  <c r="BN201" i="2"/>
  <c r="BO201" i="2" s="1"/>
  <c r="BP201" i="2"/>
  <c r="AG202" i="2"/>
  <c r="BM202" i="2"/>
  <c r="BN202" i="2"/>
  <c r="BO202" i="2" s="1"/>
  <c r="BP202" i="2"/>
  <c r="AG203" i="2"/>
  <c r="BM203" i="2"/>
  <c r="BN203" i="2"/>
  <c r="BP203" i="2"/>
  <c r="AG204" i="2"/>
  <c r="BM204" i="2"/>
  <c r="BN204" i="2"/>
  <c r="BO204" i="2" s="1"/>
  <c r="BP204" i="2"/>
  <c r="AG205" i="2"/>
  <c r="BM205" i="2"/>
  <c r="BN205" i="2"/>
  <c r="AG206" i="2"/>
  <c r="BM206" i="2"/>
  <c r="BN206" i="2"/>
  <c r="AG207" i="2"/>
  <c r="BM207" i="2"/>
  <c r="BN207" i="2"/>
  <c r="BO207" i="2" s="1"/>
  <c r="BP207" i="2"/>
  <c r="AG208" i="2"/>
  <c r="BM208" i="2"/>
  <c r="BN208" i="2"/>
  <c r="AG209" i="2"/>
  <c r="BM209" i="2"/>
  <c r="BN209" i="2"/>
  <c r="AG210" i="2"/>
  <c r="BN210" i="2"/>
  <c r="AG169" i="2"/>
  <c r="BM169" i="2"/>
  <c r="BN169" i="2"/>
  <c r="BO169" i="2" s="1"/>
  <c r="BP169" i="2"/>
  <c r="AG170" i="2"/>
  <c r="BM170" i="2"/>
  <c r="BN170" i="2"/>
  <c r="BO170" i="2" s="1"/>
  <c r="BP170" i="2"/>
  <c r="AG171" i="2"/>
  <c r="BM171" i="2"/>
  <c r="BN171" i="2"/>
  <c r="BP171" i="2"/>
  <c r="AG172" i="2"/>
  <c r="BM172" i="2"/>
  <c r="BN172" i="2"/>
  <c r="AG173" i="2"/>
  <c r="BM173" i="2"/>
  <c r="BN173" i="2"/>
  <c r="AG174" i="2"/>
  <c r="BM174" i="2"/>
  <c r="BN174" i="2"/>
  <c r="AG175" i="2"/>
  <c r="BM175" i="2"/>
  <c r="BN175" i="2"/>
  <c r="AG176" i="2"/>
  <c r="BM176" i="2"/>
  <c r="BN176" i="2"/>
  <c r="AG177" i="2"/>
  <c r="BM177" i="2"/>
  <c r="BN177" i="2"/>
  <c r="AG178" i="2"/>
  <c r="BM178" i="2"/>
  <c r="BN178" i="2"/>
  <c r="BP178" i="2"/>
  <c r="AG179" i="2"/>
  <c r="BM179" i="2"/>
  <c r="BN179" i="2"/>
  <c r="BO179" i="2" s="1"/>
  <c r="BP179" i="2"/>
  <c r="AG180" i="2"/>
  <c r="BM180" i="2"/>
  <c r="BN180" i="2"/>
  <c r="BP180" i="2"/>
  <c r="AG181" i="2"/>
  <c r="BM181" i="2"/>
  <c r="BN181" i="2"/>
  <c r="BO181" i="2" s="1"/>
  <c r="BP181" i="2"/>
  <c r="AG182" i="2"/>
  <c r="BM182" i="2"/>
  <c r="BN182" i="2"/>
  <c r="BO182" i="2" s="1"/>
  <c r="BP182" i="2"/>
  <c r="AG183" i="2"/>
  <c r="BM183" i="2"/>
  <c r="BN183" i="2"/>
  <c r="BP183" i="2"/>
  <c r="AG184" i="2"/>
  <c r="BM184" i="2"/>
  <c r="BN184" i="2"/>
  <c r="AG185" i="2"/>
  <c r="BM185" i="2"/>
  <c r="BN185" i="2"/>
  <c r="AG186" i="2"/>
  <c r="BM186" i="2"/>
  <c r="BN186" i="2"/>
  <c r="AG187" i="2"/>
  <c r="BM187" i="2"/>
  <c r="BN187" i="2"/>
  <c r="AG188" i="2"/>
  <c r="BM188" i="2"/>
  <c r="BN188" i="2"/>
  <c r="AG189" i="2"/>
  <c r="BM189" i="2"/>
  <c r="BN189" i="2"/>
  <c r="BO189" i="2" s="1"/>
  <c r="BP189" i="2"/>
  <c r="AG148" i="2"/>
  <c r="BM148" i="2"/>
  <c r="BN148" i="2"/>
  <c r="AG149" i="2"/>
  <c r="BM149" i="2"/>
  <c r="BN149" i="2"/>
  <c r="BM150" i="2"/>
  <c r="BN150" i="2"/>
  <c r="AG151" i="2"/>
  <c r="BM151" i="2"/>
  <c r="BN151" i="2"/>
  <c r="AG152" i="2"/>
  <c r="BM152" i="2"/>
  <c r="BN152" i="2"/>
  <c r="AG153" i="2"/>
  <c r="BM153" i="2"/>
  <c r="BN153" i="2"/>
  <c r="AG154" i="2"/>
  <c r="BM154" i="2"/>
  <c r="BN154" i="2"/>
  <c r="BO154" i="2" s="1"/>
  <c r="BP154" i="2"/>
  <c r="AG155" i="2"/>
  <c r="BM155" i="2"/>
  <c r="BN155" i="2"/>
  <c r="BO155" i="2" s="1"/>
  <c r="BP155" i="2"/>
  <c r="AG156" i="2"/>
  <c r="BM156" i="2"/>
  <c r="BN156" i="2"/>
  <c r="AG157" i="2"/>
  <c r="BM157" i="2"/>
  <c r="BN157" i="2"/>
  <c r="BP157" i="2"/>
  <c r="AG158" i="2"/>
  <c r="BM158" i="2"/>
  <c r="BN158" i="2"/>
  <c r="BO158" i="2" s="1"/>
  <c r="BP158" i="2"/>
  <c r="AG159" i="2"/>
  <c r="BM159" i="2"/>
  <c r="BN159" i="2"/>
  <c r="BO159" i="2" s="1"/>
  <c r="BP159" i="2"/>
  <c r="AG160" i="2"/>
  <c r="BM160" i="2"/>
  <c r="BN160" i="2"/>
  <c r="AG161" i="2"/>
  <c r="BM161" i="2"/>
  <c r="BN161" i="2"/>
  <c r="AG162" i="2"/>
  <c r="BM162" i="2"/>
  <c r="BN162" i="2"/>
  <c r="AG163" i="2"/>
  <c r="BM163" i="2"/>
  <c r="BN163" i="2"/>
  <c r="BM164" i="2"/>
  <c r="BN164" i="2"/>
  <c r="AG165" i="2"/>
  <c r="BM165" i="2"/>
  <c r="BN165" i="2"/>
  <c r="AG166" i="2"/>
  <c r="BM166" i="2"/>
  <c r="BN166" i="2"/>
  <c r="BO166" i="2" s="1"/>
  <c r="BP166" i="2"/>
  <c r="AG167" i="2"/>
  <c r="BM167" i="2"/>
  <c r="BN167" i="2"/>
  <c r="BO167" i="2" s="1"/>
  <c r="BP167" i="2"/>
  <c r="AG168" i="2"/>
  <c r="BM168" i="2"/>
  <c r="BN168" i="2"/>
  <c r="BO168" i="2" s="1"/>
  <c r="BP168" i="2"/>
  <c r="AG127" i="2"/>
  <c r="BM127" i="2"/>
  <c r="BN127" i="2"/>
  <c r="AG128" i="2"/>
  <c r="BM128" i="2"/>
  <c r="BN128" i="2"/>
  <c r="AG129" i="2"/>
  <c r="BM129" i="2"/>
  <c r="BN129" i="2"/>
  <c r="AG130" i="2"/>
  <c r="BM130" i="2"/>
  <c r="BN130" i="2"/>
  <c r="BO130" i="2" s="1"/>
  <c r="BP130" i="2"/>
  <c r="AG131" i="2"/>
  <c r="BM131" i="2"/>
  <c r="BN131" i="2"/>
  <c r="BO131" i="2" s="1"/>
  <c r="BP131" i="2"/>
  <c r="AG132" i="2"/>
  <c r="BM132" i="2"/>
  <c r="BN132" i="2"/>
  <c r="BO132" i="2" s="1"/>
  <c r="BP132" i="2"/>
  <c r="AG133" i="2"/>
  <c r="BM133" i="2"/>
  <c r="BN133" i="2"/>
  <c r="BO133" i="2" s="1"/>
  <c r="BP133" i="2"/>
  <c r="AG134" i="2"/>
  <c r="BM134" i="2"/>
  <c r="BN134" i="2"/>
  <c r="BO134" i="2" s="1"/>
  <c r="BP134" i="2"/>
  <c r="AG135" i="2"/>
  <c r="BM135" i="2"/>
  <c r="BN135" i="2"/>
  <c r="AG136" i="2"/>
  <c r="BM136" i="2"/>
  <c r="BN136" i="2"/>
  <c r="AG137" i="2"/>
  <c r="BM137" i="2"/>
  <c r="BN137" i="2"/>
  <c r="AG138" i="2"/>
  <c r="BN138" i="2"/>
  <c r="AG139" i="2"/>
  <c r="BM139" i="2"/>
  <c r="BN139" i="2"/>
  <c r="AG140" i="2"/>
  <c r="BM140" i="2"/>
  <c r="BN140" i="2"/>
  <c r="AG141" i="2"/>
  <c r="BM141" i="2"/>
  <c r="BN141" i="2"/>
  <c r="AG142" i="2"/>
  <c r="BM142" i="2"/>
  <c r="BN142" i="2"/>
  <c r="BO142" i="2" s="1"/>
  <c r="BP142" i="2"/>
  <c r="AG143" i="2"/>
  <c r="BM143" i="2"/>
  <c r="BN143" i="2"/>
  <c r="BP143" i="2"/>
  <c r="AG144" i="2"/>
  <c r="BM144" i="2"/>
  <c r="BN144" i="2"/>
  <c r="BO144" i="2" s="1"/>
  <c r="BP144" i="2"/>
  <c r="AG145" i="2"/>
  <c r="BM145" i="2"/>
  <c r="BN145" i="2"/>
  <c r="BO145" i="2" s="1"/>
  <c r="BP145" i="2"/>
  <c r="AG146" i="2"/>
  <c r="BM146" i="2"/>
  <c r="BN146" i="2"/>
  <c r="BO146" i="2" s="1"/>
  <c r="BP146" i="2"/>
  <c r="AG147" i="2"/>
  <c r="BM147" i="2"/>
  <c r="BN147" i="2"/>
  <c r="BO147" i="2" s="1"/>
  <c r="BP147" i="2"/>
  <c r="AG106" i="2"/>
  <c r="BM106" i="2"/>
  <c r="BN106" i="2"/>
  <c r="BO106" i="2" s="1"/>
  <c r="BP106" i="2"/>
  <c r="AG107" i="2"/>
  <c r="BM107" i="2"/>
  <c r="BN107" i="2"/>
  <c r="BO107" i="2" s="1"/>
  <c r="BP107" i="2"/>
  <c r="AG108" i="2"/>
  <c r="BM108" i="2"/>
  <c r="BN108" i="2"/>
  <c r="BO108" i="2" s="1"/>
  <c r="BP108" i="2"/>
  <c r="AG109" i="2"/>
  <c r="BM109" i="2"/>
  <c r="BN109" i="2"/>
  <c r="BO109" i="2" s="1"/>
  <c r="BP109" i="2"/>
  <c r="AG110" i="2"/>
  <c r="BM110" i="2"/>
  <c r="BN110" i="2"/>
  <c r="BO110" i="2" s="1"/>
  <c r="BP110" i="2"/>
  <c r="AG111" i="2"/>
  <c r="BM111" i="2"/>
  <c r="BN111" i="2"/>
  <c r="BP111" i="2"/>
  <c r="AG112" i="2"/>
  <c r="BM112" i="2"/>
  <c r="BN112" i="2"/>
  <c r="AG113" i="2"/>
  <c r="BM113" i="2"/>
  <c r="BN113" i="2"/>
  <c r="AG114" i="2"/>
  <c r="BM114" i="2"/>
  <c r="BN114" i="2"/>
  <c r="AG115" i="2"/>
  <c r="BM115" i="2"/>
  <c r="BN115" i="2"/>
  <c r="BM116" i="2"/>
  <c r="BN116" i="2"/>
  <c r="AG117" i="2"/>
  <c r="BM117" i="2"/>
  <c r="BN117" i="2"/>
  <c r="AG118" i="2"/>
  <c r="BM118" i="2"/>
  <c r="BN118" i="2"/>
  <c r="BO118" i="2" s="1"/>
  <c r="BP118" i="2"/>
  <c r="AG119" i="2"/>
  <c r="BM119" i="2"/>
  <c r="BN119" i="2"/>
  <c r="BP119" i="2"/>
  <c r="AG120" i="2"/>
  <c r="BM120" i="2"/>
  <c r="BN120" i="2"/>
  <c r="AG121" i="2"/>
  <c r="BM121" i="2"/>
  <c r="BN121" i="2"/>
  <c r="BO121" i="2" s="1"/>
  <c r="BP121" i="2"/>
  <c r="AG122" i="2"/>
  <c r="BM122" i="2"/>
  <c r="BN122" i="2"/>
  <c r="BO122" i="2" s="1"/>
  <c r="BP122" i="2"/>
  <c r="AG123" i="2"/>
  <c r="BM123" i="2"/>
  <c r="BN123" i="2"/>
  <c r="BO123" i="2" s="1"/>
  <c r="BP123" i="2"/>
  <c r="AG124" i="2"/>
  <c r="BM124" i="2"/>
  <c r="BN124" i="2"/>
  <c r="AG125" i="2"/>
  <c r="BM125" i="2"/>
  <c r="BN125" i="2"/>
  <c r="BN126" i="2"/>
  <c r="AG85" i="2"/>
  <c r="BM85" i="2"/>
  <c r="BN85" i="2"/>
  <c r="BP85" i="2"/>
  <c r="AG86" i="2"/>
  <c r="BM86" i="2"/>
  <c r="BN86" i="2"/>
  <c r="BO86" i="2" s="1"/>
  <c r="BP86" i="2"/>
  <c r="AG87" i="2"/>
  <c r="BM87" i="2"/>
  <c r="BN87" i="2"/>
  <c r="BO87" i="2" s="1"/>
  <c r="BP87" i="2"/>
  <c r="AG88" i="2"/>
  <c r="BM88" i="2"/>
  <c r="BN88" i="2"/>
  <c r="BO88" i="2" s="1"/>
  <c r="AG89" i="2"/>
  <c r="BM89" i="2"/>
  <c r="BN89" i="2"/>
  <c r="AG90" i="2"/>
  <c r="BM90" i="2"/>
  <c r="BN90" i="2"/>
  <c r="AG91" i="2"/>
  <c r="BM91" i="2"/>
  <c r="BN91" i="2"/>
  <c r="BM92" i="2"/>
  <c r="BN92" i="2"/>
  <c r="AG93" i="2"/>
  <c r="BM93" i="2"/>
  <c r="BN93" i="2"/>
  <c r="AG94" i="2"/>
  <c r="BM94" i="2"/>
  <c r="BN94" i="2"/>
  <c r="BO94" i="2" s="1"/>
  <c r="BP94" i="2"/>
  <c r="AG95" i="2"/>
  <c r="BM95" i="2"/>
  <c r="BN95" i="2"/>
  <c r="BO95" i="2" s="1"/>
  <c r="BP95" i="2"/>
  <c r="AG96" i="2"/>
  <c r="BM96" i="2"/>
  <c r="BN96" i="2"/>
  <c r="BO96" i="2" s="1"/>
  <c r="BP96" i="2"/>
  <c r="AG97" i="2"/>
  <c r="BM97" i="2"/>
  <c r="BN97" i="2"/>
  <c r="BO97" i="2" s="1"/>
  <c r="BP97" i="2"/>
  <c r="AG98" i="2"/>
  <c r="BM98" i="2"/>
  <c r="BN98" i="2"/>
  <c r="BO98" i="2" s="1"/>
  <c r="BP98" i="2"/>
  <c r="AG99" i="2"/>
  <c r="BM99" i="2"/>
  <c r="BN99" i="2"/>
  <c r="AG100" i="2"/>
  <c r="BM100" i="2"/>
  <c r="BN100" i="2"/>
  <c r="AG101" i="2"/>
  <c r="BM101" i="2"/>
  <c r="BN101" i="2"/>
  <c r="BM102" i="2"/>
  <c r="BN102" i="2"/>
  <c r="AG103" i="2"/>
  <c r="BM103" i="2"/>
  <c r="BN103" i="2"/>
  <c r="BM104" i="2"/>
  <c r="BN104" i="2"/>
  <c r="AG105" i="2"/>
  <c r="BM105" i="2"/>
  <c r="BN105" i="2"/>
  <c r="AG64" i="2"/>
  <c r="BM64" i="2"/>
  <c r="BN64" i="2"/>
  <c r="AG65" i="2"/>
  <c r="BM65" i="2"/>
  <c r="BN65" i="2"/>
  <c r="BM66" i="2"/>
  <c r="BN66" i="2"/>
  <c r="AG67" i="2"/>
  <c r="BM67" i="2"/>
  <c r="BN67" i="2"/>
  <c r="AG68" i="2"/>
  <c r="BM68" i="2"/>
  <c r="BN68" i="2"/>
  <c r="AG69" i="2"/>
  <c r="BM69" i="2"/>
  <c r="BN69" i="2"/>
  <c r="AG70" i="2"/>
  <c r="BM70" i="2"/>
  <c r="BN70" i="2"/>
  <c r="BO70" i="2" s="1"/>
  <c r="BP70" i="2"/>
  <c r="AG71" i="2"/>
  <c r="BM71" i="2"/>
  <c r="BN71" i="2"/>
  <c r="BO71" i="2" s="1"/>
  <c r="BP71" i="2"/>
  <c r="AG72" i="2"/>
  <c r="BM72" i="2"/>
  <c r="BN72" i="2"/>
  <c r="BO72" i="2" s="1"/>
  <c r="BP72" i="2"/>
  <c r="AG73" i="2"/>
  <c r="BM73" i="2"/>
  <c r="BN73" i="2"/>
  <c r="BO73" i="2" s="1"/>
  <c r="BP73" i="2"/>
  <c r="BM74" i="2"/>
  <c r="BN74" i="2"/>
  <c r="BO74" i="2" s="1"/>
  <c r="BP74" i="2"/>
  <c r="AG75" i="2"/>
  <c r="BM75" i="2"/>
  <c r="BN75" i="2"/>
  <c r="BO75" i="2" s="1"/>
  <c r="BP75" i="2"/>
  <c r="AG76" i="2"/>
  <c r="BM76" i="2"/>
  <c r="BN76" i="2"/>
  <c r="AG77" i="2"/>
  <c r="BM77" i="2"/>
  <c r="BN77" i="2"/>
  <c r="BP77" i="2"/>
  <c r="BN78" i="2"/>
  <c r="AG79" i="2"/>
  <c r="BM79" i="2"/>
  <c r="BN79" i="2"/>
  <c r="AG80" i="2"/>
  <c r="BM80" i="2"/>
  <c r="BN80" i="2"/>
  <c r="AG81" i="2"/>
  <c r="BM81" i="2"/>
  <c r="BN81" i="2"/>
  <c r="AG82" i="2"/>
  <c r="BM82" i="2"/>
  <c r="BN82" i="2"/>
  <c r="BO82" i="2" s="1"/>
  <c r="BP82" i="2"/>
  <c r="AG83" i="2"/>
  <c r="BM83" i="2"/>
  <c r="BN83" i="2"/>
  <c r="AG84" i="2"/>
  <c r="BM84" i="2"/>
  <c r="BN84" i="2"/>
  <c r="AG43" i="2"/>
  <c r="BM43" i="2"/>
  <c r="BN43" i="2"/>
  <c r="AG44" i="2"/>
  <c r="BM44" i="2"/>
  <c r="BN44" i="2"/>
  <c r="AG45" i="2"/>
  <c r="BM45" i="2"/>
  <c r="BN45" i="2"/>
  <c r="AG46" i="2"/>
  <c r="BM46" i="2"/>
  <c r="BN46" i="2"/>
  <c r="AG47" i="2"/>
  <c r="BM47" i="2"/>
  <c r="BN47" i="2"/>
  <c r="BP47" i="2"/>
  <c r="AG48" i="2"/>
  <c r="BM48" i="2"/>
  <c r="BN48" i="2"/>
  <c r="AG49" i="2"/>
  <c r="BM49" i="2"/>
  <c r="BN49" i="2"/>
  <c r="BO49" i="2" s="1"/>
  <c r="BP49" i="2"/>
  <c r="AG50" i="2"/>
  <c r="BM50" i="2"/>
  <c r="BN50" i="2"/>
  <c r="BO50" i="2" s="1"/>
  <c r="BP50" i="2"/>
  <c r="AG51" i="2"/>
  <c r="BM51" i="2"/>
  <c r="BN51" i="2"/>
  <c r="BP51" i="2"/>
  <c r="AG52" i="2"/>
  <c r="BM52" i="2"/>
  <c r="BN52" i="2"/>
  <c r="AG53" i="2"/>
  <c r="BM53" i="2"/>
  <c r="BN53" i="2"/>
  <c r="AG54" i="2"/>
  <c r="BM54" i="2"/>
  <c r="BN54" i="2"/>
  <c r="AG55" i="2"/>
  <c r="BM55" i="2"/>
  <c r="BN55" i="2"/>
  <c r="AG56" i="2"/>
  <c r="BM56" i="2"/>
  <c r="BN56" i="2"/>
  <c r="AG57" i="2"/>
  <c r="BM57" i="2"/>
  <c r="BN57" i="2"/>
  <c r="AG58" i="2"/>
  <c r="BM58" i="2"/>
  <c r="BN58" i="2"/>
  <c r="BO58" i="2" s="1"/>
  <c r="BP58" i="2"/>
  <c r="AG59" i="2"/>
  <c r="BM59" i="2"/>
  <c r="BN59" i="2"/>
  <c r="BO59" i="2" s="1"/>
  <c r="BP59" i="2"/>
  <c r="AG60" i="2"/>
  <c r="BM60" i="2"/>
  <c r="BN60" i="2"/>
  <c r="BO60" i="2" s="1"/>
  <c r="BP60" i="2"/>
  <c r="AG61" i="2"/>
  <c r="BM61" i="2"/>
  <c r="BN61" i="2"/>
  <c r="BO61" i="2" s="1"/>
  <c r="BP61" i="2"/>
  <c r="AG62" i="2"/>
  <c r="BM62" i="2"/>
  <c r="BN62" i="2"/>
  <c r="BO62" i="2" s="1"/>
  <c r="BP62" i="2"/>
  <c r="AG63" i="2"/>
  <c r="BM63" i="2"/>
  <c r="BN63" i="2"/>
  <c r="AG22" i="2"/>
  <c r="BM22" i="2"/>
  <c r="BN22" i="2"/>
  <c r="AG23" i="2"/>
  <c r="BM23" i="2"/>
  <c r="BN23" i="2"/>
  <c r="BO23" i="2" s="1"/>
  <c r="BP23" i="2"/>
  <c r="AG24" i="2"/>
  <c r="BM24" i="2"/>
  <c r="BN24" i="2"/>
  <c r="BO24" i="2" s="1"/>
  <c r="BP24" i="2"/>
  <c r="AG25" i="2"/>
  <c r="BM25" i="2"/>
  <c r="BN25" i="2"/>
  <c r="BO25" i="2" s="1"/>
  <c r="BP25" i="2"/>
  <c r="BM26" i="2"/>
  <c r="BN26" i="2"/>
  <c r="AG27" i="2"/>
  <c r="BM27" i="2"/>
  <c r="BN27" i="2"/>
  <c r="BO27" i="2" s="1"/>
  <c r="BP27" i="2"/>
  <c r="AG28" i="2"/>
  <c r="BM28" i="2"/>
  <c r="BN28" i="2"/>
  <c r="AG29" i="2"/>
  <c r="BM29" i="2"/>
  <c r="BN29" i="2"/>
  <c r="AG30" i="2"/>
  <c r="BM30" i="2"/>
  <c r="BN30" i="2"/>
  <c r="AG31" i="2"/>
  <c r="BM31" i="2"/>
  <c r="BN31" i="2"/>
  <c r="AG32" i="2"/>
  <c r="BM32" i="2"/>
  <c r="BN32" i="2"/>
  <c r="AG33" i="2"/>
  <c r="BM33" i="2"/>
  <c r="BN33" i="2"/>
  <c r="AG34" i="2"/>
  <c r="BM34" i="2"/>
  <c r="BN34" i="2"/>
  <c r="AG35" i="2"/>
  <c r="BM35" i="2"/>
  <c r="BN35" i="2"/>
  <c r="BO35" i="2" s="1"/>
  <c r="BP35" i="2"/>
  <c r="AG36" i="2"/>
  <c r="BM36" i="2"/>
  <c r="BN36" i="2"/>
  <c r="BO36" i="2" s="1"/>
  <c r="BP36" i="2"/>
  <c r="AG37" i="2"/>
  <c r="BM37" i="2"/>
  <c r="BN37" i="2"/>
  <c r="BO37" i="2" s="1"/>
  <c r="BP37" i="2"/>
  <c r="BM38" i="2"/>
  <c r="BN38" i="2"/>
  <c r="BO38" i="2" s="1"/>
  <c r="BP38" i="2"/>
  <c r="AG39" i="2"/>
  <c r="BM39" i="2"/>
  <c r="BN39" i="2"/>
  <c r="BO39" i="2" s="1"/>
  <c r="BP39" i="2"/>
  <c r="AG40" i="2"/>
  <c r="BM40" i="2"/>
  <c r="BN40" i="2"/>
  <c r="AG41" i="2"/>
  <c r="BM41" i="2"/>
  <c r="BN41" i="2"/>
  <c r="BM42" i="2"/>
  <c r="BN42" i="2"/>
  <c r="U12" i="2"/>
  <c r="C13" i="2"/>
  <c r="J15" i="2"/>
  <c r="K15" i="2"/>
  <c r="L15" i="2"/>
  <c r="M15" i="2"/>
  <c r="N15" i="2"/>
  <c r="Q15" i="2"/>
  <c r="R15" i="2"/>
  <c r="AA15" i="2"/>
  <c r="AB15" i="2"/>
  <c r="AC15" i="2"/>
  <c r="AD15" i="2"/>
  <c r="AE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R15" i="2"/>
  <c r="AG17" i="2"/>
  <c r="BM17" i="2"/>
  <c r="BN17" i="2"/>
  <c r="BP17" i="2"/>
  <c r="AG18" i="2"/>
  <c r="BM18" i="2"/>
  <c r="BN18" i="2"/>
  <c r="AG19" i="2"/>
  <c r="BM19" i="2"/>
  <c r="BN19" i="2"/>
  <c r="AG20" i="2"/>
  <c r="BM20" i="2"/>
  <c r="BN20" i="2"/>
  <c r="AG21" i="2"/>
  <c r="BM21" i="2"/>
  <c r="BN21" i="2"/>
  <c r="BO47" i="2" l="1"/>
  <c r="BO296" i="2"/>
  <c r="BO325" i="2"/>
  <c r="BO339" i="2"/>
  <c r="BO63" i="2"/>
  <c r="BO100" i="2"/>
  <c r="BO135" i="2"/>
  <c r="BO267" i="2"/>
  <c r="BO311" i="2"/>
  <c r="BO99" i="2"/>
  <c r="BO120" i="2"/>
  <c r="BO156" i="2"/>
  <c r="BO239" i="2"/>
  <c r="BO191" i="2"/>
  <c r="BO84" i="2"/>
  <c r="BO26" i="2"/>
  <c r="BO48" i="2"/>
  <c r="BO83" i="2"/>
  <c r="BO252" i="2"/>
  <c r="BO266" i="2"/>
  <c r="BO253" i="2"/>
  <c r="BO33" i="2"/>
  <c r="BO102" i="2"/>
  <c r="BO138" i="2"/>
  <c r="BO187" i="2"/>
  <c r="BO210" i="2"/>
  <c r="BO224" i="2"/>
  <c r="BO283" i="2"/>
  <c r="Y7" i="2"/>
  <c r="BO92" i="2"/>
  <c r="BM138" i="2"/>
  <c r="BM210" i="2"/>
  <c r="BO270" i="2"/>
  <c r="BO306" i="2"/>
  <c r="Y18" i="2"/>
  <c r="Y30" i="2"/>
  <c r="Y42" i="2"/>
  <c r="Y54" i="2"/>
  <c r="Y66" i="2"/>
  <c r="Y78" i="2"/>
  <c r="Y90" i="2"/>
  <c r="Y102" i="2"/>
  <c r="BO46" i="2"/>
  <c r="BO79" i="2"/>
  <c r="BO114" i="2"/>
  <c r="BO128" i="2"/>
  <c r="BO164" i="2"/>
  <c r="BO174" i="2"/>
  <c r="BO200" i="2"/>
  <c r="BO211" i="2"/>
  <c r="BO247" i="2"/>
  <c r="Y114" i="2"/>
  <c r="Y126" i="2"/>
  <c r="Y138" i="2"/>
  <c r="Y150" i="2"/>
  <c r="BO42" i="2"/>
  <c r="BO32" i="2"/>
  <c r="BO69" i="2"/>
  <c r="BO66" i="2"/>
  <c r="BO117" i="2"/>
  <c r="BO151" i="2"/>
  <c r="Y162" i="2"/>
  <c r="Y174" i="2"/>
  <c r="Y186" i="2"/>
  <c r="Y198" i="2"/>
  <c r="Y210" i="2"/>
  <c r="BO22" i="2"/>
  <c r="BO55" i="2"/>
  <c r="BO104" i="2"/>
  <c r="BO91" i="2"/>
  <c r="BO140" i="2"/>
  <c r="BO186" i="2"/>
  <c r="BM234" i="2"/>
  <c r="BO282" i="2"/>
  <c r="Y222" i="2"/>
  <c r="BO163" i="2"/>
  <c r="Y234" i="2"/>
  <c r="BO67" i="2"/>
  <c r="BO56" i="2"/>
  <c r="BO141" i="2"/>
  <c r="BO45" i="2"/>
  <c r="Y246" i="2"/>
  <c r="Y258" i="2"/>
  <c r="Y270" i="2"/>
  <c r="Y282" i="2"/>
  <c r="BO78" i="2"/>
  <c r="BO126" i="2"/>
  <c r="BO127" i="2"/>
  <c r="BO246" i="2"/>
  <c r="BO34" i="2"/>
  <c r="BO31" i="2"/>
  <c r="BM78" i="2"/>
  <c r="BO68" i="2"/>
  <c r="BO103" i="2"/>
  <c r="BM126" i="2"/>
  <c r="BO116" i="2"/>
  <c r="BO150" i="2"/>
  <c r="BM246" i="2"/>
  <c r="BO236" i="2"/>
  <c r="BO295" i="2"/>
  <c r="BO331" i="2"/>
  <c r="C11" i="2"/>
  <c r="Y294" i="2"/>
  <c r="Y306" i="2"/>
  <c r="Y318" i="2"/>
  <c r="BO57" i="2"/>
  <c r="BO54" i="2"/>
  <c r="BO90" i="2"/>
  <c r="BO139" i="2"/>
  <c r="BO188" i="2"/>
  <c r="BO222" i="2"/>
  <c r="Y330" i="2"/>
  <c r="Y342" i="2"/>
  <c r="BO152" i="2"/>
  <c r="BO162" i="2"/>
  <c r="BO307" i="2"/>
  <c r="C7" i="2"/>
  <c r="AX12" i="2" s="1"/>
  <c r="C12" i="2"/>
  <c r="BO44" i="2"/>
  <c r="BO80" i="2"/>
  <c r="BO115" i="2"/>
  <c r="BO129" i="2"/>
  <c r="BO165" i="2"/>
  <c r="BO175" i="2"/>
  <c r="BO198" i="2"/>
  <c r="BO212" i="2"/>
  <c r="BO343" i="2"/>
  <c r="BO30" i="2"/>
  <c r="BO235" i="2"/>
  <c r="BO258" i="2"/>
  <c r="BO53" i="2"/>
  <c r="BO293" i="2"/>
  <c r="BO304" i="2"/>
  <c r="BO64" i="2"/>
  <c r="BO245" i="2"/>
  <c r="BO233" i="2"/>
  <c r="BO269" i="2"/>
  <c r="BO257" i="2"/>
  <c r="BO29" i="2"/>
  <c r="BO41" i="2"/>
  <c r="BO149" i="2"/>
  <c r="BO197" i="2"/>
  <c r="BO221" i="2"/>
  <c r="BO341" i="2"/>
  <c r="BO76" i="2"/>
  <c r="BO161" i="2"/>
  <c r="BO353" i="2"/>
  <c r="BO113" i="2"/>
  <c r="BO137" i="2"/>
  <c r="BO292" i="2"/>
  <c r="BO52" i="2"/>
  <c r="BO125" i="2"/>
  <c r="BO232" i="2"/>
  <c r="BO268" i="2"/>
  <c r="BO256" i="2"/>
  <c r="BO28" i="2"/>
  <c r="BO40" i="2"/>
  <c r="BO89" i="2"/>
  <c r="BO148" i="2"/>
  <c r="BO184" i="2"/>
  <c r="BO172" i="2"/>
  <c r="BO196" i="2"/>
  <c r="BO220" i="2"/>
  <c r="BO101" i="2"/>
  <c r="BO160" i="2"/>
  <c r="BO317" i="2"/>
  <c r="BO112" i="2"/>
  <c r="BO136" i="2"/>
  <c r="BO305" i="2"/>
  <c r="BO329" i="2"/>
  <c r="BO65" i="2"/>
  <c r="BO124" i="2"/>
  <c r="BO281" i="2"/>
  <c r="BQ121" i="2"/>
  <c r="BQ183" i="2"/>
  <c r="BQ129" i="2"/>
  <c r="V11" i="2"/>
  <c r="W11" i="2" s="1"/>
  <c r="BQ143" i="2"/>
  <c r="Y10" i="2"/>
  <c r="BQ319" i="2"/>
  <c r="BQ103" i="2"/>
  <c r="BQ185" i="2"/>
  <c r="D9" i="2"/>
  <c r="E9" i="2" s="1"/>
  <c r="V10" i="2"/>
  <c r="W10" i="2" s="1"/>
  <c r="BQ45" i="2"/>
  <c r="BQ168" i="2"/>
  <c r="BQ29" i="2"/>
  <c r="D8" i="2"/>
  <c r="D7" i="2"/>
  <c r="D10" i="2"/>
  <c r="E10" i="2" s="1"/>
  <c r="D12" i="2"/>
  <c r="BQ309" i="2"/>
  <c r="V7" i="2"/>
  <c r="W7" i="2" s="1"/>
  <c r="D13" i="2"/>
  <c r="D11" i="2"/>
  <c r="V12" i="2"/>
  <c r="W12" i="2" s="1"/>
  <c r="BQ172" i="2"/>
  <c r="BQ284" i="2"/>
  <c r="BQ311" i="2"/>
  <c r="BQ21" i="2"/>
  <c r="BQ18" i="2"/>
  <c r="BO183" i="2"/>
  <c r="BQ85" i="2"/>
  <c r="BQ271" i="2"/>
  <c r="BQ331" i="2"/>
  <c r="BQ111" i="2"/>
  <c r="BQ315" i="2"/>
  <c r="BQ81" i="2"/>
  <c r="BQ264" i="2"/>
  <c r="BQ291" i="2"/>
  <c r="BQ227" i="2"/>
  <c r="BQ219" i="2"/>
  <c r="BQ265" i="2"/>
  <c r="BQ347" i="2"/>
  <c r="BO81" i="2"/>
  <c r="BO85" i="2"/>
  <c r="BQ124" i="2"/>
  <c r="BQ205" i="2"/>
  <c r="BQ243" i="2"/>
  <c r="BQ289" i="2"/>
  <c r="BQ193" i="2"/>
  <c r="BQ171" i="2"/>
  <c r="BQ220" i="2"/>
  <c r="BQ233" i="2"/>
  <c r="BQ80" i="2"/>
  <c r="BQ93" i="2"/>
  <c r="BQ133" i="2"/>
  <c r="BQ223" i="2"/>
  <c r="BQ269" i="2"/>
  <c r="BO319" i="2"/>
  <c r="BQ170" i="2"/>
  <c r="BQ43" i="2"/>
  <c r="BQ209" i="2"/>
  <c r="BQ203" i="2"/>
  <c r="BQ163" i="2"/>
  <c r="BQ157" i="2"/>
  <c r="BQ173" i="2"/>
  <c r="BQ201" i="2"/>
  <c r="BQ229" i="2"/>
  <c r="BQ237" i="2"/>
  <c r="BQ273" i="2"/>
  <c r="BO265" i="2"/>
  <c r="BQ349" i="2"/>
  <c r="BQ20" i="2"/>
  <c r="BQ17" i="2"/>
  <c r="BQ51" i="2"/>
  <c r="BQ119" i="2"/>
  <c r="BQ239" i="2"/>
  <c r="BQ259" i="2"/>
  <c r="BQ300" i="2"/>
  <c r="BQ19" i="2"/>
  <c r="BQ153" i="2"/>
  <c r="BQ297" i="2"/>
  <c r="BQ69" i="2"/>
  <c r="BQ105" i="2"/>
  <c r="BQ247" i="2"/>
  <c r="BQ261" i="2"/>
  <c r="BQ345" i="2"/>
  <c r="BQ341" i="2"/>
  <c r="BQ109" i="2"/>
  <c r="BQ305" i="2"/>
  <c r="BQ327" i="2"/>
  <c r="BQ188" i="2"/>
  <c r="BQ177" i="2"/>
  <c r="BQ199" i="2"/>
  <c r="BQ221" i="2"/>
  <c r="BQ301" i="2"/>
  <c r="BQ323" i="2"/>
  <c r="BQ197" i="2"/>
  <c r="BQ225" i="2"/>
  <c r="BQ211" i="2"/>
  <c r="BQ283" i="2"/>
  <c r="BQ337" i="2"/>
  <c r="BQ77" i="2"/>
  <c r="BQ149" i="2"/>
  <c r="BO171" i="2"/>
  <c r="BO193" i="2"/>
  <c r="BQ190" i="2"/>
  <c r="BQ279" i="2"/>
  <c r="BO315" i="2"/>
  <c r="BQ353" i="2"/>
  <c r="BO185" i="2"/>
  <c r="BO243" i="2"/>
  <c r="W9" i="2"/>
  <c r="BQ22" i="2"/>
  <c r="BQ47" i="2"/>
  <c r="BO93" i="2"/>
  <c r="BQ90" i="2"/>
  <c r="BQ152" i="2"/>
  <c r="BO209" i="2"/>
  <c r="BQ241" i="2"/>
  <c r="BQ274" i="2"/>
  <c r="BQ303" i="2"/>
  <c r="BQ329" i="2"/>
  <c r="BQ321" i="2"/>
  <c r="BQ343" i="2"/>
  <c r="BQ38" i="2"/>
  <c r="BQ27" i="2"/>
  <c r="BQ55" i="2"/>
  <c r="BQ64" i="2"/>
  <c r="BQ112" i="2"/>
  <c r="BQ246" i="2"/>
  <c r="BQ256" i="2"/>
  <c r="BQ282" i="2"/>
  <c r="BO18" i="2"/>
  <c r="BO203" i="2"/>
  <c r="BQ292" i="2"/>
  <c r="BQ310" i="2"/>
  <c r="BQ66" i="2"/>
  <c r="BQ232" i="2"/>
  <c r="BQ71" i="2"/>
  <c r="BQ97" i="2"/>
  <c r="BQ145" i="2"/>
  <c r="BQ162" i="2"/>
  <c r="BQ151" i="2"/>
  <c r="BO205" i="2"/>
  <c r="BO261" i="2"/>
  <c r="BQ333" i="2"/>
  <c r="BQ37" i="2"/>
  <c r="BQ23" i="2"/>
  <c r="BQ54" i="2"/>
  <c r="BQ159" i="2"/>
  <c r="BQ250" i="2"/>
  <c r="BQ245" i="2"/>
  <c r="BQ255" i="2"/>
  <c r="BQ281" i="2"/>
  <c r="BO105" i="2"/>
  <c r="BO111" i="2"/>
  <c r="BQ136" i="2"/>
  <c r="BO271" i="2"/>
  <c r="BQ263" i="2"/>
  <c r="BQ275" i="2"/>
  <c r="BQ304" i="2"/>
  <c r="BO347" i="2"/>
  <c r="BQ39" i="2"/>
  <c r="BQ28" i="2"/>
  <c r="BO51" i="2"/>
  <c r="BQ79" i="2"/>
  <c r="BQ113" i="2"/>
  <c r="BQ147" i="2"/>
  <c r="BO153" i="2"/>
  <c r="BO199" i="2"/>
  <c r="BQ299" i="2"/>
  <c r="BO20" i="2"/>
  <c r="BQ100" i="2"/>
  <c r="BQ95" i="2"/>
  <c r="BQ87" i="2"/>
  <c r="BQ161" i="2"/>
  <c r="BO259" i="2"/>
  <c r="BQ293" i="2"/>
  <c r="BQ35" i="2"/>
  <c r="BQ30" i="2"/>
  <c r="BQ213" i="2"/>
  <c r="BO297" i="2"/>
  <c r="BQ62" i="2"/>
  <c r="BO177" i="2"/>
  <c r="BQ174" i="2"/>
  <c r="BQ228" i="2"/>
  <c r="BO223" i="2"/>
  <c r="BQ215" i="2"/>
  <c r="BO237" i="2"/>
  <c r="BQ179" i="2"/>
  <c r="BQ128" i="2"/>
  <c r="BQ169" i="2"/>
  <c r="BQ196" i="2"/>
  <c r="BQ268" i="2"/>
  <c r="BQ277" i="2"/>
  <c r="BO19" i="2"/>
  <c r="BQ46" i="2"/>
  <c r="BQ72" i="2"/>
  <c r="BQ160" i="2"/>
  <c r="BQ198" i="2"/>
  <c r="BO225" i="2"/>
  <c r="BO21" i="2"/>
  <c r="BQ31" i="2"/>
  <c r="BQ61" i="2"/>
  <c r="BQ135" i="2"/>
  <c r="BQ167" i="2"/>
  <c r="BQ317" i="2"/>
  <c r="BQ36" i="2"/>
  <c r="BO43" i="2"/>
  <c r="BO143" i="2"/>
  <c r="BQ140" i="2"/>
  <c r="BO173" i="2"/>
  <c r="BQ214" i="2"/>
  <c r="BQ248" i="2"/>
  <c r="BQ238" i="2"/>
  <c r="BQ257" i="2"/>
  <c r="BO279" i="2"/>
  <c r="BQ63" i="2"/>
  <c r="BQ58" i="2"/>
  <c r="BQ53" i="2"/>
  <c r="BO77" i="2"/>
  <c r="BQ98" i="2"/>
  <c r="BO119" i="2"/>
  <c r="BQ116" i="2"/>
  <c r="BQ137" i="2"/>
  <c r="BQ127" i="2"/>
  <c r="BO157" i="2"/>
  <c r="BQ210" i="2"/>
  <c r="BQ195" i="2"/>
  <c r="BQ267" i="2"/>
  <c r="BO289" i="2"/>
  <c r="BQ286" i="2"/>
  <c r="BQ334" i="2"/>
  <c r="BO327" i="2"/>
  <c r="W8" i="2"/>
  <c r="BQ41" i="2"/>
  <c r="BQ56" i="2"/>
  <c r="BQ49" i="2"/>
  <c r="BQ82" i="2"/>
  <c r="BQ73" i="2"/>
  <c r="BQ99" i="2"/>
  <c r="BQ123" i="2"/>
  <c r="BQ131" i="2"/>
  <c r="BQ155" i="2"/>
  <c r="BQ186" i="2"/>
  <c r="BQ231" i="2"/>
  <c r="BQ25" i="2"/>
  <c r="BQ75" i="2"/>
  <c r="BQ101" i="2"/>
  <c r="BQ125" i="2"/>
  <c r="BQ107" i="2"/>
  <c r="BQ181" i="2"/>
  <c r="BQ207" i="2"/>
  <c r="BQ191" i="2"/>
  <c r="BQ217" i="2"/>
  <c r="BQ253" i="2"/>
  <c r="BQ92" i="2"/>
  <c r="BQ118" i="2"/>
  <c r="BQ142" i="2"/>
  <c r="BQ148" i="2"/>
  <c r="BQ252" i="2"/>
  <c r="BQ288" i="2"/>
  <c r="BQ307" i="2"/>
  <c r="BQ94" i="2"/>
  <c r="BQ144" i="2"/>
  <c r="BQ202" i="2"/>
  <c r="BQ335" i="2"/>
  <c r="AG15" i="2"/>
  <c r="BO17" i="2"/>
  <c r="BQ40" i="2"/>
  <c r="BQ57" i="2"/>
  <c r="BQ48" i="2"/>
  <c r="BQ83" i="2"/>
  <c r="BQ65" i="2"/>
  <c r="BQ89" i="2"/>
  <c r="BQ115" i="2"/>
  <c r="BQ139" i="2"/>
  <c r="BQ130" i="2"/>
  <c r="BQ154" i="2"/>
  <c r="BQ187" i="2"/>
  <c r="BQ230" i="2"/>
  <c r="BQ249" i="2"/>
  <c r="BQ266" i="2"/>
  <c r="BQ285" i="2"/>
  <c r="BQ302" i="2"/>
  <c r="BQ295" i="2"/>
  <c r="BO337" i="2"/>
  <c r="BQ33" i="2"/>
  <c r="BQ59" i="2"/>
  <c r="BQ74" i="2"/>
  <c r="BQ67" i="2"/>
  <c r="BQ91" i="2"/>
  <c r="BQ117" i="2"/>
  <c r="BQ141" i="2"/>
  <c r="BQ165" i="2"/>
  <c r="BQ189" i="2"/>
  <c r="BQ175" i="2"/>
  <c r="BQ251" i="2"/>
  <c r="BQ235" i="2"/>
  <c r="BQ287" i="2"/>
  <c r="BQ313" i="2"/>
  <c r="BQ325" i="2"/>
  <c r="BQ351" i="2"/>
  <c r="BQ339" i="2"/>
  <c r="BQ76" i="2"/>
  <c r="BQ126" i="2"/>
  <c r="BQ108" i="2"/>
  <c r="BQ192" i="2"/>
  <c r="BQ270" i="2"/>
  <c r="BQ306" i="2"/>
  <c r="BM15" i="2"/>
  <c r="BQ110" i="2"/>
  <c r="BQ134" i="2"/>
  <c r="BQ158" i="2"/>
  <c r="BR13" i="2"/>
  <c r="BR14" i="2"/>
  <c r="BR9" i="2"/>
  <c r="BO194" i="2"/>
  <c r="BQ194" i="2"/>
  <c r="BO244" i="2"/>
  <c r="BQ244" i="2"/>
  <c r="BO280" i="2"/>
  <c r="BQ280" i="2"/>
  <c r="BQ42" i="2"/>
  <c r="BQ60" i="2"/>
  <c r="BQ78" i="2"/>
  <c r="BQ96" i="2"/>
  <c r="BQ114" i="2"/>
  <c r="BQ132" i="2"/>
  <c r="BQ150" i="2"/>
  <c r="BO234" i="2"/>
  <c r="BQ234" i="2"/>
  <c r="BO312" i="2"/>
  <c r="BQ312" i="2"/>
  <c r="BO332" i="2"/>
  <c r="BQ332" i="2"/>
  <c r="BO320" i="2"/>
  <c r="BQ320" i="2"/>
  <c r="BO346" i="2"/>
  <c r="BQ346" i="2"/>
  <c r="BQ24" i="2"/>
  <c r="BQ84" i="2"/>
  <c r="BQ102" i="2"/>
  <c r="BQ120" i="2"/>
  <c r="BQ138" i="2"/>
  <c r="BQ156" i="2"/>
  <c r="BO176" i="2"/>
  <c r="BQ176" i="2"/>
  <c r="BQ26" i="2"/>
  <c r="BQ44" i="2"/>
  <c r="BQ104" i="2"/>
  <c r="BQ122" i="2"/>
  <c r="BO226" i="2"/>
  <c r="BQ226" i="2"/>
  <c r="BO262" i="2"/>
  <c r="BQ262" i="2"/>
  <c r="BO298" i="2"/>
  <c r="BQ298" i="2"/>
  <c r="BO178" i="2"/>
  <c r="BQ178" i="2"/>
  <c r="BO208" i="2"/>
  <c r="BQ208" i="2"/>
  <c r="BQ32" i="2"/>
  <c r="BQ50" i="2"/>
  <c r="BQ68" i="2"/>
  <c r="BQ86" i="2"/>
  <c r="BQ146" i="2"/>
  <c r="BQ164" i="2"/>
  <c r="BQ182" i="2"/>
  <c r="BO180" i="2"/>
  <c r="BQ180" i="2"/>
  <c r="BO206" i="2"/>
  <c r="BQ206" i="2"/>
  <c r="BO216" i="2"/>
  <c r="BQ216" i="2"/>
  <c r="BO294" i="2"/>
  <c r="BQ294" i="2"/>
  <c r="BQ34" i="2"/>
  <c r="BQ52" i="2"/>
  <c r="BQ70" i="2"/>
  <c r="BQ88" i="2"/>
  <c r="BQ106" i="2"/>
  <c r="BQ166" i="2"/>
  <c r="BQ184" i="2"/>
  <c r="BQ204" i="2"/>
  <c r="BQ222" i="2"/>
  <c r="BQ240" i="2"/>
  <c r="BQ258" i="2"/>
  <c r="BQ276" i="2"/>
  <c r="BQ336" i="2"/>
  <c r="BQ224" i="2"/>
  <c r="BQ242" i="2"/>
  <c r="BQ260" i="2"/>
  <c r="BQ278" i="2"/>
  <c r="BQ296" i="2"/>
  <c r="BO322" i="2"/>
  <c r="BQ322" i="2"/>
  <c r="BO348" i="2"/>
  <c r="BQ348" i="2"/>
  <c r="BO324" i="2"/>
  <c r="BQ324" i="2"/>
  <c r="BO350" i="2"/>
  <c r="BQ350" i="2"/>
  <c r="BO338" i="2"/>
  <c r="BQ338" i="2"/>
  <c r="BO326" i="2"/>
  <c r="BQ326" i="2"/>
  <c r="BO352" i="2"/>
  <c r="BQ352" i="2"/>
  <c r="BO340" i="2"/>
  <c r="BQ340" i="2"/>
  <c r="BQ212" i="2"/>
  <c r="BQ272" i="2"/>
  <c r="BQ290" i="2"/>
  <c r="BQ308" i="2"/>
  <c r="BO328" i="2"/>
  <c r="BQ328" i="2"/>
  <c r="BO316" i="2"/>
  <c r="BQ316" i="2"/>
  <c r="BO342" i="2"/>
  <c r="BQ342" i="2"/>
  <c r="BO330" i="2"/>
  <c r="BQ330" i="2"/>
  <c r="BO318" i="2"/>
  <c r="BQ318" i="2"/>
  <c r="BO344" i="2"/>
  <c r="BQ344" i="2"/>
  <c r="BQ200" i="2"/>
  <c r="BQ218" i="2"/>
  <c r="BQ236" i="2"/>
  <c r="BQ254" i="2"/>
  <c r="BQ314" i="2"/>
  <c r="AN6" i="2" l="1"/>
  <c r="E12" i="2"/>
  <c r="Y13" i="2"/>
  <c r="AM12" i="2"/>
  <c r="E7" i="2"/>
  <c r="AV12" i="2"/>
  <c r="AH12" i="2"/>
  <c r="BF12" i="2"/>
  <c r="BH12" i="2"/>
  <c r="AY12" i="2"/>
  <c r="BK12" i="2"/>
  <c r="AO12" i="2"/>
  <c r="AR12" i="2"/>
  <c r="AS12" i="2"/>
  <c r="E11" i="2"/>
  <c r="AI12" i="2"/>
  <c r="AK12" i="2"/>
  <c r="BD12" i="2"/>
  <c r="AZ12" i="2"/>
  <c r="AP12" i="2"/>
  <c r="AQ12" i="2"/>
  <c r="AJ12" i="2"/>
  <c r="BA12" i="2"/>
  <c r="AW12" i="2"/>
  <c r="BI12" i="2"/>
  <c r="BB12" i="2"/>
  <c r="AU12" i="2"/>
  <c r="AN12" i="2"/>
  <c r="BG12" i="2"/>
  <c r="BL12" i="2"/>
  <c r="BC12" i="2"/>
  <c r="AL12" i="2"/>
  <c r="BE12" i="2"/>
  <c r="BJ12" i="2"/>
  <c r="AT12" i="2"/>
  <c r="AI10" i="2"/>
  <c r="AX8" i="2"/>
  <c r="E8" i="2"/>
  <c r="AR6" i="2"/>
  <c r="AY10" i="2"/>
  <c r="BB8" i="2"/>
  <c r="BH8" i="2"/>
  <c r="AZ5" i="2"/>
  <c r="AK6" i="2"/>
  <c r="BD5" i="2"/>
  <c r="AU5" i="2"/>
  <c r="BK10" i="2"/>
  <c r="AS10" i="2"/>
  <c r="BL6" i="2"/>
  <c r="AL7" i="2"/>
  <c r="BI7" i="2"/>
  <c r="AY5" i="2"/>
  <c r="BC11" i="2"/>
  <c r="BK11" i="2"/>
  <c r="AJ8" i="2"/>
  <c r="AP5" i="2"/>
  <c r="BH11" i="2"/>
  <c r="BD6" i="2"/>
  <c r="AP7" i="2"/>
  <c r="BL5" i="2"/>
  <c r="BK7" i="2"/>
  <c r="BC6" i="2"/>
  <c r="BB10" i="2"/>
  <c r="AM11" i="2"/>
  <c r="AU7" i="2"/>
  <c r="AW10" i="2"/>
  <c r="BC7" i="2"/>
  <c r="BD7" i="2"/>
  <c r="BA8" i="2"/>
  <c r="AH6" i="2"/>
  <c r="AR5" i="2"/>
  <c r="AI11" i="2"/>
  <c r="BA11" i="2"/>
  <c r="AO11" i="2"/>
  <c r="AQ6" i="2"/>
  <c r="BL7" i="2"/>
  <c r="AO5" i="2"/>
  <c r="AK8" i="2"/>
  <c r="AJ10" i="2"/>
  <c r="BG6" i="2"/>
  <c r="AJ7" i="2"/>
  <c r="BL10" i="2"/>
  <c r="BJ5" i="2"/>
  <c r="AZ7" i="2"/>
  <c r="BE11" i="2"/>
  <c r="AI5" i="2"/>
  <c r="BK8" i="2"/>
  <c r="AJ11" i="2"/>
  <c r="AZ10" i="2"/>
  <c r="AX5" i="2"/>
  <c r="AN7" i="2"/>
  <c r="AS11" i="2"/>
  <c r="AK10" i="2"/>
  <c r="AO7" i="2"/>
  <c r="BF10" i="2"/>
  <c r="AW11" i="2"/>
  <c r="BC8" i="2"/>
  <c r="AP11" i="2"/>
  <c r="AY6" i="2"/>
  <c r="AR10" i="2"/>
  <c r="AK11" i="2"/>
  <c r="BL8" i="2"/>
  <c r="BG5" i="2"/>
  <c r="BH7" i="2"/>
  <c r="AY8" i="2"/>
  <c r="BC10" i="2"/>
  <c r="AO6" i="2"/>
  <c r="AR8" i="2"/>
  <c r="BF5" i="2"/>
  <c r="AU8" i="2"/>
  <c r="AM8" i="2"/>
  <c r="AV7" i="2"/>
  <c r="AU6" i="2"/>
  <c r="BB5" i="2"/>
  <c r="AH8" i="2"/>
  <c r="BL11" i="2"/>
  <c r="AW5" i="2"/>
  <c r="AT11" i="2"/>
  <c r="AH7" i="2"/>
  <c r="AL6" i="2"/>
  <c r="AI6" i="2"/>
  <c r="AS5" i="2"/>
  <c r="BG10" i="2"/>
  <c r="AS7" i="2"/>
  <c r="AN11" i="2"/>
  <c r="BB7" i="2"/>
  <c r="BE10" i="2"/>
  <c r="AS6" i="2"/>
  <c r="AL8" i="2"/>
  <c r="BI10" i="2"/>
  <c r="E13" i="2"/>
  <c r="BE7" i="2"/>
  <c r="AQ7" i="2"/>
  <c r="AZ11" i="2"/>
  <c r="AR7" i="2"/>
  <c r="AK5" i="2"/>
  <c r="AO8" i="2"/>
  <c r="AH11" i="2"/>
  <c r="BA5" i="2"/>
  <c r="BE6" i="2"/>
  <c r="AX7" i="2"/>
  <c r="BJ11" i="2"/>
  <c r="BI11" i="2"/>
  <c r="AZ6" i="2"/>
  <c r="AW8" i="2"/>
  <c r="AV11" i="2"/>
  <c r="BK5" i="2"/>
  <c r="AN10" i="2"/>
  <c r="AM10" i="2"/>
  <c r="BB11" i="2"/>
  <c r="AP8" i="2"/>
  <c r="BK6" i="2"/>
  <c r="AV8" i="2"/>
  <c r="BD10" i="2"/>
  <c r="AN5" i="2"/>
  <c r="AV10" i="2"/>
  <c r="BI6" i="2"/>
  <c r="BH6" i="2"/>
  <c r="BJ8" i="2"/>
  <c r="AX11" i="2"/>
  <c r="AV6" i="2"/>
  <c r="AR11" i="2"/>
  <c r="AM5" i="2"/>
  <c r="AQ8" i="2"/>
  <c r="AQ11" i="2"/>
  <c r="BD8" i="2"/>
  <c r="AY11" i="2"/>
  <c r="AM6" i="2"/>
  <c r="BG7" i="2"/>
  <c r="BG8" i="2"/>
  <c r="AL11" i="2"/>
  <c r="AY7" i="2"/>
  <c r="AT10" i="2"/>
  <c r="AM7" i="2"/>
  <c r="AZ8" i="2"/>
  <c r="BH10" i="2"/>
  <c r="AQ10" i="2"/>
  <c r="AL5" i="2"/>
  <c r="BH5" i="2"/>
  <c r="AP10" i="2"/>
  <c r="BB6" i="2"/>
  <c r="BJ10" i="2"/>
  <c r="AT5" i="2"/>
  <c r="AI7" i="2"/>
  <c r="AI8" i="2"/>
  <c r="AN8" i="2"/>
  <c r="AQ5" i="2"/>
  <c r="AW7" i="2"/>
  <c r="BE5" i="2"/>
  <c r="AK7" i="2"/>
  <c r="BJ7" i="2"/>
  <c r="BF8" i="2"/>
  <c r="BA10" i="2"/>
  <c r="AV5" i="2"/>
  <c r="BE8" i="2"/>
  <c r="AP6" i="2"/>
  <c r="AX10" i="2"/>
  <c r="AH5" i="2"/>
  <c r="BF6" i="2"/>
  <c r="BF7" i="2"/>
  <c r="BA7" i="2"/>
  <c r="AU10" i="2"/>
  <c r="BJ6" i="2"/>
  <c r="BG11" i="2"/>
  <c r="AX6" i="2"/>
  <c r="AT8" i="2"/>
  <c r="AO10" i="2"/>
  <c r="AJ5" i="2"/>
  <c r="AS8" i="2"/>
  <c r="BI5" i="2"/>
  <c r="AL10" i="2"/>
  <c r="BF11" i="2"/>
  <c r="AT6" i="2"/>
  <c r="AT7" i="2"/>
  <c r="BD11" i="2"/>
  <c r="BA6" i="2"/>
  <c r="AJ6" i="2"/>
  <c r="BI8" i="2"/>
  <c r="AH10" i="2"/>
  <c r="BC5" i="2"/>
  <c r="AW6" i="2"/>
  <c r="AU11" i="2"/>
  <c r="BR12" i="2" l="1"/>
  <c r="BR5" i="2"/>
  <c r="BR8" i="2"/>
  <c r="BR10" i="2"/>
  <c r="BR6" i="2"/>
  <c r="BR11" i="2"/>
  <c r="BR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tc={3177166E-D77D-4ABA-AEFE-083784F2689D}</author>
    <author>tc={9DAAE398-C29B-4533-BC47-9B479CBB0808}</author>
  </authors>
  <commentList>
    <comment ref="W102" authorId="0" shapeId="0" xr:uid="{3177166E-D77D-4ABA-AEFE-083784F2689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Solicitar 33 moldes para 01/04</t>
      </text>
    </comment>
    <comment ref="X102" authorId="1" shapeId="0" xr:uid="{9DAAE398-C29B-4533-BC47-9B479CBB080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Solicitar 33 moldes para 01/04</t>
      </text>
    </comment>
  </commentList>
</comments>
</file>

<file path=xl/sharedStrings.xml><?xml version="1.0" encoding="utf-8"?>
<sst xmlns="http://schemas.openxmlformats.org/spreadsheetml/2006/main" count="1928" uniqueCount="1015">
  <si>
    <t>DUPL 
FN</t>
  </si>
  <si>
    <t>DUPL 
F1</t>
  </si>
  <si>
    <t>Fabricação Robo</t>
  </si>
  <si>
    <t>Rank venda 6M</t>
  </si>
  <si>
    <t>Prioridade</t>
  </si>
  <si>
    <t>Saldo normal</t>
  </si>
  <si>
    <t>PREVISÃO ENTREGA FN</t>
  </si>
  <si>
    <t>Perda</t>
  </si>
  <si>
    <t>Soma</t>
  </si>
  <si>
    <t>Inicio Téc</t>
  </si>
  <si>
    <t>Desvio</t>
  </si>
  <si>
    <t>Máximo</t>
  </si>
  <si>
    <t>Check</t>
  </si>
  <si>
    <t>TT molde</t>
  </si>
  <si>
    <t>Manual</t>
  </si>
  <si>
    <t>Máquina</t>
  </si>
  <si>
    <t>Maquina</t>
  </si>
  <si>
    <t>top 1</t>
  </si>
  <si>
    <t>top 2</t>
  </si>
  <si>
    <t>Motivo Residual</t>
  </si>
  <si>
    <t>Tipo</t>
  </si>
  <si>
    <t xml:space="preserve">LATAM CS </t>
  </si>
  <si>
    <t>LATAM ETO</t>
  </si>
  <si>
    <t>OXIETO ETO</t>
  </si>
  <si>
    <t>F1 TOTAL</t>
  </si>
  <si>
    <t>ETO TOTAL</t>
  </si>
  <si>
    <t>Não</t>
  </si>
  <si>
    <t>Sim</t>
  </si>
  <si>
    <t>Falta Molde (cura) - plano alto p/ poucos moldes</t>
  </si>
  <si>
    <t>Planejado</t>
  </si>
  <si>
    <t>Realizado</t>
  </si>
  <si>
    <t>Total</t>
  </si>
  <si>
    <t>Maquina Total</t>
  </si>
  <si>
    <t>Maquina total</t>
  </si>
  <si>
    <t>Geral</t>
  </si>
  <si>
    <t>CAPACIDADE</t>
  </si>
  <si>
    <t>ID</t>
  </si>
  <si>
    <t>Componente</t>
  </si>
  <si>
    <t>Familia</t>
  </si>
  <si>
    <t>Categoria</t>
  </si>
  <si>
    <t>Ferramental</t>
  </si>
  <si>
    <t>célula</t>
  </si>
  <si>
    <t>Capacidade célula</t>
  </si>
  <si>
    <t>volume</t>
  </si>
  <si>
    <t>Ferramental A</t>
  </si>
  <si>
    <t>Ferramental B</t>
  </si>
  <si>
    <t>TT Ferramental</t>
  </si>
  <si>
    <t>Consumo Real</t>
  </si>
  <si>
    <t>LD</t>
  </si>
  <si>
    <t>Grupo 1</t>
  </si>
  <si>
    <t>Grupo 2</t>
  </si>
  <si>
    <t>70001-140</t>
  </si>
  <si>
    <t>70001-140J</t>
  </si>
  <si>
    <t>70002-175EA</t>
  </si>
  <si>
    <t>70002-175EAJ</t>
  </si>
  <si>
    <t>70002-195EA</t>
  </si>
  <si>
    <t>70002-195EAJ</t>
  </si>
  <si>
    <t>70002-215EA</t>
  </si>
  <si>
    <t>70002-215EAJ</t>
  </si>
  <si>
    <t>70002-235EA</t>
  </si>
  <si>
    <t>70002-235EAJ</t>
  </si>
  <si>
    <t>70002-255EA</t>
  </si>
  <si>
    <t>70002-255EAJ</t>
  </si>
  <si>
    <t>70002-275</t>
  </si>
  <si>
    <t>70002-275J</t>
  </si>
  <si>
    <t>70002-275EA</t>
  </si>
  <si>
    <t>70002-275EAJ</t>
  </si>
  <si>
    <t>70002-295</t>
  </si>
  <si>
    <t>70002-295J</t>
  </si>
  <si>
    <t>70002-295EA</t>
  </si>
  <si>
    <t>70002-295EAJ</t>
  </si>
  <si>
    <t>70002-315</t>
  </si>
  <si>
    <t>70002-315J</t>
  </si>
  <si>
    <t>70002-315EA</t>
  </si>
  <si>
    <t>70002-315EAJ</t>
  </si>
  <si>
    <t>70002-335EA</t>
  </si>
  <si>
    <t>70002-335EAJ</t>
  </si>
  <si>
    <t>70002-355</t>
  </si>
  <si>
    <t>70002-355J</t>
  </si>
  <si>
    <t>70002-355EA</t>
  </si>
  <si>
    <t>70002-355EAJ</t>
  </si>
  <si>
    <t>70002-385</t>
  </si>
  <si>
    <t>70002-385J</t>
  </si>
  <si>
    <t>70002-385EA</t>
  </si>
  <si>
    <t>70002-385EAJ</t>
  </si>
  <si>
    <t>70002-415</t>
  </si>
  <si>
    <t>70002-415J</t>
  </si>
  <si>
    <t>70002-415EA</t>
  </si>
  <si>
    <t>70002-415EAJ</t>
  </si>
  <si>
    <t>70002-455</t>
  </si>
  <si>
    <t>70002-455J</t>
  </si>
  <si>
    <t>70002-455EA</t>
  </si>
  <si>
    <t>70002-455EAJ</t>
  </si>
  <si>
    <t>70002-495EA</t>
  </si>
  <si>
    <t>70002-495EAJ</t>
  </si>
  <si>
    <t>70002-545EA</t>
  </si>
  <si>
    <t>70002-545EAJ</t>
  </si>
  <si>
    <t>70002-605EA</t>
  </si>
  <si>
    <t>70002-605EAJ</t>
  </si>
  <si>
    <t>70002-655EA</t>
  </si>
  <si>
    <t>70002-655EAJ</t>
  </si>
  <si>
    <t>70002-695EA</t>
  </si>
  <si>
    <t>70002-695EAJ</t>
  </si>
  <si>
    <t>70003-240</t>
  </si>
  <si>
    <t>70003-240J</t>
  </si>
  <si>
    <t>70003-270</t>
  </si>
  <si>
    <t>70003-270J</t>
  </si>
  <si>
    <t>70003-300</t>
  </si>
  <si>
    <t>70003-300J</t>
  </si>
  <si>
    <t>70003-330</t>
  </si>
  <si>
    <t>70003-330J</t>
  </si>
  <si>
    <t>70003-360</t>
  </si>
  <si>
    <t>70003-360J</t>
  </si>
  <si>
    <t>70004-200</t>
  </si>
  <si>
    <t>70004-200J</t>
  </si>
  <si>
    <t>70004-250</t>
  </si>
  <si>
    <t>70004-250J</t>
  </si>
  <si>
    <t>70004-350</t>
  </si>
  <si>
    <t>70004-350J</t>
  </si>
  <si>
    <t>70004-400</t>
  </si>
  <si>
    <t>70004-400J</t>
  </si>
  <si>
    <t>70004-450</t>
  </si>
  <si>
    <t>70004-450J</t>
  </si>
  <si>
    <t>70004-500</t>
  </si>
  <si>
    <t>70004-500J</t>
  </si>
  <si>
    <t>70005-120</t>
  </si>
  <si>
    <t>70005-120J</t>
  </si>
  <si>
    <t>70005-190</t>
  </si>
  <si>
    <t>70005-190J</t>
  </si>
  <si>
    <t>70006-115</t>
  </si>
  <si>
    <t>70006-115J</t>
  </si>
  <si>
    <t>70006-135</t>
  </si>
  <si>
    <t>70006-135J</t>
  </si>
  <si>
    <t>70006-155</t>
  </si>
  <si>
    <t>70006-155J</t>
  </si>
  <si>
    <t>70006-175</t>
  </si>
  <si>
    <t>70006-175J</t>
  </si>
  <si>
    <t>70006-195</t>
  </si>
  <si>
    <t>70006-195J</t>
  </si>
  <si>
    <t>70006-205EA</t>
  </si>
  <si>
    <t>70006-205EAJ</t>
  </si>
  <si>
    <t>70006-215</t>
  </si>
  <si>
    <t>70006-215J</t>
  </si>
  <si>
    <t>70006-225EA</t>
  </si>
  <si>
    <t>70006-225EAJ</t>
  </si>
  <si>
    <t>70006-235</t>
  </si>
  <si>
    <t>70006-235J</t>
  </si>
  <si>
    <t>70006-245EA</t>
  </si>
  <si>
    <t>70006-245EAJ</t>
  </si>
  <si>
    <t>70006-255</t>
  </si>
  <si>
    <t>70006-255J</t>
  </si>
  <si>
    <t>70006-265EA</t>
  </si>
  <si>
    <t>70006-265EAJ</t>
  </si>
  <si>
    <t>70006-285</t>
  </si>
  <si>
    <t>70006-285J</t>
  </si>
  <si>
    <t>70006-285EA</t>
  </si>
  <si>
    <t>70006-285EAJ</t>
  </si>
  <si>
    <t>70006-305</t>
  </si>
  <si>
    <t>70006-305J</t>
  </si>
  <si>
    <t>70006-305EA</t>
  </si>
  <si>
    <t>70006-305EAJ</t>
  </si>
  <si>
    <t>70006-325</t>
  </si>
  <si>
    <t>70006-325J</t>
  </si>
  <si>
    <t>70006-330EA</t>
  </si>
  <si>
    <t>70006-330EAJ</t>
  </si>
  <si>
    <t>70006-355</t>
  </si>
  <si>
    <t>70006-355J</t>
  </si>
  <si>
    <t>70006-355EA</t>
  </si>
  <si>
    <t>70006-355EAJ</t>
  </si>
  <si>
    <t>70006-380EA</t>
  </si>
  <si>
    <t>70006-380EAJ</t>
  </si>
  <si>
    <t>70006-385</t>
  </si>
  <si>
    <t>70006-385J</t>
  </si>
  <si>
    <t>70006-410EA</t>
  </si>
  <si>
    <t>70006-410EAJ</t>
  </si>
  <si>
    <t>70006-435</t>
  </si>
  <si>
    <t>70006-435J</t>
  </si>
  <si>
    <t>70006-450EA</t>
  </si>
  <si>
    <t>70006-450EAJ</t>
  </si>
  <si>
    <t>70006-485</t>
  </si>
  <si>
    <t>70006-485J</t>
  </si>
  <si>
    <t>70006-500EA</t>
  </si>
  <si>
    <t>70006-500EAJ</t>
  </si>
  <si>
    <t>70006-525</t>
  </si>
  <si>
    <t>70006-525J</t>
  </si>
  <si>
    <t>70006-550EA</t>
  </si>
  <si>
    <t>70006-550EAJ</t>
  </si>
  <si>
    <t>70006-600EA</t>
  </si>
  <si>
    <t>70006-600EAJ</t>
  </si>
  <si>
    <t>70007-155LO</t>
  </si>
  <si>
    <t>70007-155LOJ</t>
  </si>
  <si>
    <t>70007-170LO</t>
  </si>
  <si>
    <t>70007-170LOJ</t>
  </si>
  <si>
    <t>70007-185LO</t>
  </si>
  <si>
    <t>70007-185LOJ</t>
  </si>
  <si>
    <t>70007-190MD</t>
  </si>
  <si>
    <t>70007-190MDJ</t>
  </si>
  <si>
    <t>70007-200LO</t>
  </si>
  <si>
    <t>70007-200LOJ</t>
  </si>
  <si>
    <t>70007-205MD</t>
  </si>
  <si>
    <t>70007-205MDJ</t>
  </si>
  <si>
    <t>70007-225HI</t>
  </si>
  <si>
    <t>70007-225HIJ</t>
  </si>
  <si>
    <t>70007-225MD</t>
  </si>
  <si>
    <t>70007-225MDJ</t>
  </si>
  <si>
    <t>70007-240LO</t>
  </si>
  <si>
    <t>70007-240LOJ</t>
  </si>
  <si>
    <t>70007-240MD</t>
  </si>
  <si>
    <t>70007-240MDJ</t>
  </si>
  <si>
    <t>70007-245HI</t>
  </si>
  <si>
    <t>70007-245HIJ</t>
  </si>
  <si>
    <t>70007-255MD</t>
  </si>
  <si>
    <t>70007-255MDJ</t>
  </si>
  <si>
    <t>70007-255XH</t>
  </si>
  <si>
    <t>70007-255XHJ</t>
  </si>
  <si>
    <t>70007-260LO</t>
  </si>
  <si>
    <t>70007-260LOJ</t>
  </si>
  <si>
    <t>70007-270HI</t>
  </si>
  <si>
    <t>70007-270HIJ</t>
  </si>
  <si>
    <t>70007-275LO</t>
  </si>
  <si>
    <t>70007-275LOJ</t>
  </si>
  <si>
    <t>70007-280MD</t>
  </si>
  <si>
    <t>70007-280MDJ</t>
  </si>
  <si>
    <t>70007-280XH</t>
  </si>
  <si>
    <t>70007-280XHJ</t>
  </si>
  <si>
    <t>70007-285HI</t>
  </si>
  <si>
    <t>70007-285HIJ</t>
  </si>
  <si>
    <t>70007-305HI</t>
  </si>
  <si>
    <t>70007-305HIJ</t>
  </si>
  <si>
    <t>70007-305LO</t>
  </si>
  <si>
    <t>70007-305LOJ</t>
  </si>
  <si>
    <t>70007-305MD</t>
  </si>
  <si>
    <t>70007-305MDJ</t>
  </si>
  <si>
    <t>70007-305XH</t>
  </si>
  <si>
    <t>70007-305XHJ</t>
  </si>
  <si>
    <t>70007-325XH</t>
  </si>
  <si>
    <t>70007-325XHJ</t>
  </si>
  <si>
    <t>70007-330MD</t>
  </si>
  <si>
    <t>70007-330MDJ</t>
  </si>
  <si>
    <t>70007-335HI</t>
  </si>
  <si>
    <t>70007-335HIJ</t>
  </si>
  <si>
    <t>70007-335LO</t>
  </si>
  <si>
    <t>70007-335LOJ</t>
  </si>
  <si>
    <t>70007-350MD</t>
  </si>
  <si>
    <t>70007-350MDJ</t>
  </si>
  <si>
    <t>70007-360LO</t>
  </si>
  <si>
    <t>70007-360LOJ</t>
  </si>
  <si>
    <t>70007-360XH</t>
  </si>
  <si>
    <t>70007-360XHJ</t>
  </si>
  <si>
    <t>70007-365HI</t>
  </si>
  <si>
    <t>70007-365HIJ</t>
  </si>
  <si>
    <t>70007-380XH</t>
  </si>
  <si>
    <t>70007-380XHJ</t>
  </si>
  <si>
    <t>70007-385MD</t>
  </si>
  <si>
    <t>70007-385MDJ</t>
  </si>
  <si>
    <t>70007-390HI</t>
  </si>
  <si>
    <t>70007-390HIJ</t>
  </si>
  <si>
    <t>70007-410XH</t>
  </si>
  <si>
    <t>70007-410XHJ</t>
  </si>
  <si>
    <t>70007-420HI</t>
  </si>
  <si>
    <t>70007-420HIJ</t>
  </si>
  <si>
    <t>70007-430LO</t>
  </si>
  <si>
    <t>70007-430LOJ</t>
  </si>
  <si>
    <t>70007-430XH</t>
  </si>
  <si>
    <t>70007-430XHJ</t>
  </si>
  <si>
    <t>70007-440MD</t>
  </si>
  <si>
    <t>70007-440MDJ</t>
  </si>
  <si>
    <t>70007-445HI</t>
  </si>
  <si>
    <t>70007-445HIJ</t>
  </si>
  <si>
    <t>70007-470XH</t>
  </si>
  <si>
    <t>70007-470XHJ</t>
  </si>
  <si>
    <t>70007-505HI</t>
  </si>
  <si>
    <t>70007-505HIJ</t>
  </si>
  <si>
    <t>70007-505MD</t>
  </si>
  <si>
    <t>70007-505MDJ</t>
  </si>
  <si>
    <t>70007-570HI</t>
  </si>
  <si>
    <t>70007-570HIJ</t>
  </si>
  <si>
    <t>70007-570XH</t>
  </si>
  <si>
    <t>70007-570XHJ</t>
  </si>
  <si>
    <t>70007-625XH</t>
  </si>
  <si>
    <t>70007-625XHJ</t>
  </si>
  <si>
    <t>70008-155LO</t>
  </si>
  <si>
    <t>70008-155LOJ</t>
  </si>
  <si>
    <t>70008-190MD</t>
  </si>
  <si>
    <t>70008-190MDJ</t>
  </si>
  <si>
    <t>70008-200LO</t>
  </si>
  <si>
    <t>70008-200LOJ</t>
  </si>
  <si>
    <t>70008-205MD</t>
  </si>
  <si>
    <t>70008-205MDJ</t>
  </si>
  <si>
    <t>70008-215LO</t>
  </si>
  <si>
    <t>70008-215LOJ</t>
  </si>
  <si>
    <t>70008-220HI</t>
  </si>
  <si>
    <t>70008-220HIJ</t>
  </si>
  <si>
    <t>70008-220MD</t>
  </si>
  <si>
    <t>70008-220MDJ</t>
  </si>
  <si>
    <t>70008-235HI</t>
  </si>
  <si>
    <t>70008-235HIJ</t>
  </si>
  <si>
    <t>70008-245MD</t>
  </si>
  <si>
    <t>70008-245MDJ</t>
  </si>
  <si>
    <t>70008-250XH</t>
  </si>
  <si>
    <t>70008-250XHJ</t>
  </si>
  <si>
    <t>70008-255HI</t>
  </si>
  <si>
    <t>70008-255HIJ</t>
  </si>
  <si>
    <t>70008-260MD</t>
  </si>
  <si>
    <t>70008-260MDJ</t>
  </si>
  <si>
    <t>70008-270HI</t>
  </si>
  <si>
    <t>70008-270HIJ</t>
  </si>
  <si>
    <t>70008-275MD</t>
  </si>
  <si>
    <t>70008-275MDJ</t>
  </si>
  <si>
    <t>70008-290XH</t>
  </si>
  <si>
    <t>70008-290XHJ</t>
  </si>
  <si>
    <t>70008-295HI</t>
  </si>
  <si>
    <t>70008-295HIJ</t>
  </si>
  <si>
    <t>70008-300MD</t>
  </si>
  <si>
    <t>70008-300MDJ</t>
  </si>
  <si>
    <t>70008-315LO</t>
  </si>
  <si>
    <t>70008-315LOJ</t>
  </si>
  <si>
    <t>70008-320HI</t>
  </si>
  <si>
    <t>70008-320HIJ</t>
  </si>
  <si>
    <t>70008-320MD</t>
  </si>
  <si>
    <t>70008-320MDJ</t>
  </si>
  <si>
    <t>70008-320XH</t>
  </si>
  <si>
    <t>70008-320XHJ</t>
  </si>
  <si>
    <t>70008-340HI</t>
  </si>
  <si>
    <t>70008-340HIJ</t>
  </si>
  <si>
    <t>70008-340XH</t>
  </si>
  <si>
    <t>70008-340XHJ</t>
  </si>
  <si>
    <t>70008-360MD</t>
  </si>
  <si>
    <t>70008-360MDJ</t>
  </si>
  <si>
    <t>70008-370HI</t>
  </si>
  <si>
    <t>70008-370HIJ</t>
  </si>
  <si>
    <t>70008-380XH</t>
  </si>
  <si>
    <t>70008-380XHJ</t>
  </si>
  <si>
    <t>70008-415MD</t>
  </si>
  <si>
    <t>70008-415MDJ</t>
  </si>
  <si>
    <t>70008-425HI</t>
  </si>
  <si>
    <t>70008-425HIJ</t>
  </si>
  <si>
    <t>70008-425XH</t>
  </si>
  <si>
    <t>70008-425XHJ</t>
  </si>
  <si>
    <t>70008-470MD</t>
  </si>
  <si>
    <t>70008-470MDJ</t>
  </si>
  <si>
    <t>70008-475XH</t>
  </si>
  <si>
    <t>70008-475XHJ</t>
  </si>
  <si>
    <t>70008-550HI</t>
  </si>
  <si>
    <t>70008-550HIJ</t>
  </si>
  <si>
    <t>70008-550XH</t>
  </si>
  <si>
    <t>70008-550XHJ</t>
  </si>
  <si>
    <t>70008-610XH</t>
  </si>
  <si>
    <t>70008-610XHJ</t>
  </si>
  <si>
    <t>70009-185HI</t>
  </si>
  <si>
    <t>70009-185HIJ</t>
  </si>
  <si>
    <t>70009-220LO</t>
  </si>
  <si>
    <t>70009-220LOJ</t>
  </si>
  <si>
    <t>70009-245HI</t>
  </si>
  <si>
    <t>70009-245HIJ</t>
  </si>
  <si>
    <t>70009-250LO</t>
  </si>
  <si>
    <t>70009-250LOJ</t>
  </si>
  <si>
    <t>70009-250MD</t>
  </si>
  <si>
    <t>70009-250MDJ</t>
  </si>
  <si>
    <t>70009-280MD</t>
  </si>
  <si>
    <t>70009-280MDJ</t>
  </si>
  <si>
    <t>70009-285HI</t>
  </si>
  <si>
    <t>70009-285HIJ</t>
  </si>
  <si>
    <t>70009-285LO</t>
  </si>
  <si>
    <t>70009-285LOJ</t>
  </si>
  <si>
    <t>70009-315HI</t>
  </si>
  <si>
    <t>70009-315HIJ</t>
  </si>
  <si>
    <t>70009-320LO</t>
  </si>
  <si>
    <t>70009-320LOJ</t>
  </si>
  <si>
    <t>70009-325XH</t>
  </si>
  <si>
    <t>70009-325XHJ</t>
  </si>
  <si>
    <t>70009-350XH</t>
  </si>
  <si>
    <t>70009-350XHJ</t>
  </si>
  <si>
    <t>70009-355HI</t>
  </si>
  <si>
    <t>70009-355HIJ</t>
  </si>
  <si>
    <t>70009-360MD</t>
  </si>
  <si>
    <t>70009-360MDJ</t>
  </si>
  <si>
    <t>70009-365LO</t>
  </si>
  <si>
    <t>70009-365LOJ</t>
  </si>
  <si>
    <t>70009-395HI</t>
  </si>
  <si>
    <t>70009-395HIJ</t>
  </si>
  <si>
    <t>70009-400MD</t>
  </si>
  <si>
    <t>70009-400MDJ</t>
  </si>
  <si>
    <t>70009-405LO</t>
  </si>
  <si>
    <t>70009-405LOJ</t>
  </si>
  <si>
    <t>70009-405XH</t>
  </si>
  <si>
    <t>70009-405XHJ</t>
  </si>
  <si>
    <t>70009-440XH</t>
  </si>
  <si>
    <t>70009-440XHJ</t>
  </si>
  <si>
    <t>70009-450HI</t>
  </si>
  <si>
    <t>70009-450HIJ</t>
  </si>
  <si>
    <t>70009-455LO</t>
  </si>
  <si>
    <t>70009-455LOJ</t>
  </si>
  <si>
    <t>70009-485XH</t>
  </si>
  <si>
    <t>70009-485XHJ</t>
  </si>
  <si>
    <t>70009-500HI</t>
  </si>
  <si>
    <t>70009-500HIJ</t>
  </si>
  <si>
    <t>70009-505LO</t>
  </si>
  <si>
    <t>70009-505LOJ</t>
  </si>
  <si>
    <t>70009-555MD</t>
  </si>
  <si>
    <t>70009-555MDJ</t>
  </si>
  <si>
    <t>70010-180MD</t>
  </si>
  <si>
    <t>70010-180MDJ</t>
  </si>
  <si>
    <t>70010-210MD</t>
  </si>
  <si>
    <t>70010-210MDJ</t>
  </si>
  <si>
    <t>70010-215HI</t>
  </si>
  <si>
    <t>70010-215HIJ</t>
  </si>
  <si>
    <t>70010-225LO</t>
  </si>
  <si>
    <t>70010-225LOJ</t>
  </si>
  <si>
    <t>70010-240MD</t>
  </si>
  <si>
    <t>70010-240MDJ</t>
  </si>
  <si>
    <t>70010-250HI</t>
  </si>
  <si>
    <t>70010-250HIJ</t>
  </si>
  <si>
    <t>70010-250XH</t>
  </si>
  <si>
    <t>70010-250XHJ</t>
  </si>
  <si>
    <t>70010-260LO</t>
  </si>
  <si>
    <t>70010-260LOJ</t>
  </si>
  <si>
    <t>70010-285HI</t>
  </si>
  <si>
    <t>70010-285HIJ</t>
  </si>
  <si>
    <t>70010-290XH</t>
  </si>
  <si>
    <t>70010-290XHJ</t>
  </si>
  <si>
    <t>70010-295LO</t>
  </si>
  <si>
    <t>70010-295LOJ</t>
  </si>
  <si>
    <t>70010-310MD</t>
  </si>
  <si>
    <t>70010-310MDJ</t>
  </si>
  <si>
    <t>70010-320HI</t>
  </si>
  <si>
    <t>70010-320HIJ</t>
  </si>
  <si>
    <t>70010-330XH</t>
  </si>
  <si>
    <t>70010-330XHJ</t>
  </si>
  <si>
    <t>70010-340LO</t>
  </si>
  <si>
    <t>70010-340LOJ</t>
  </si>
  <si>
    <t>70010-350MD</t>
  </si>
  <si>
    <t>70010-350MDJ</t>
  </si>
  <si>
    <t>70010-365HI</t>
  </si>
  <si>
    <t>70010-365HIJ</t>
  </si>
  <si>
    <t>70010-375XH</t>
  </si>
  <si>
    <t>70010-375XHJ</t>
  </si>
  <si>
    <t>70010-380LO</t>
  </si>
  <si>
    <t>70010-380LOJ</t>
  </si>
  <si>
    <t>70010-410HI</t>
  </si>
  <si>
    <t>70010-410HIJ</t>
  </si>
  <si>
    <t>70010-420XH</t>
  </si>
  <si>
    <t>70010-420XHJ</t>
  </si>
  <si>
    <t>70010-425LO</t>
  </si>
  <si>
    <t>70010-425LOJ</t>
  </si>
  <si>
    <t>70010-450MD</t>
  </si>
  <si>
    <t>70010-450MDJ</t>
  </si>
  <si>
    <t>70010-460HI</t>
  </si>
  <si>
    <t>70010-460HIJ</t>
  </si>
  <si>
    <t>70010-465XH</t>
  </si>
  <si>
    <t>70010-465XHJ</t>
  </si>
  <si>
    <t>70010-475LO</t>
  </si>
  <si>
    <t>70010-475LOJ</t>
  </si>
  <si>
    <t>70010-500MD</t>
  </si>
  <si>
    <t>70010-500MDJ</t>
  </si>
  <si>
    <t>70010-510HI</t>
  </si>
  <si>
    <t>70010-510HIJ</t>
  </si>
  <si>
    <t>70010-530LO</t>
  </si>
  <si>
    <t>70010-530LOJ</t>
  </si>
  <si>
    <t>70010-570HI</t>
  </si>
  <si>
    <t>70010-570HIJ</t>
  </si>
  <si>
    <t>7000011-660</t>
  </si>
  <si>
    <t>7000011-660J</t>
  </si>
  <si>
    <t>700012-255</t>
  </si>
  <si>
    <t>700012-255J</t>
  </si>
  <si>
    <t>700012-380</t>
  </si>
  <si>
    <t>700012-380J</t>
  </si>
  <si>
    <t>700012-500</t>
  </si>
  <si>
    <t>700012-500J</t>
  </si>
  <si>
    <t>700012-575</t>
  </si>
  <si>
    <t>700012-575J</t>
  </si>
  <si>
    <t>700012-640</t>
  </si>
  <si>
    <t>700012-640J</t>
  </si>
  <si>
    <t>7000013-270</t>
  </si>
  <si>
    <t>7000013-270J</t>
  </si>
  <si>
    <t>7000013-690</t>
  </si>
  <si>
    <t>7000013-690J</t>
  </si>
  <si>
    <t>7000014-600</t>
  </si>
  <si>
    <t>7000014-600J</t>
  </si>
  <si>
    <t>7000015-690</t>
  </si>
  <si>
    <t>7000015-690J</t>
  </si>
  <si>
    <t>70016-195MD</t>
  </si>
  <si>
    <t>70016-195MDJ</t>
  </si>
  <si>
    <t>70016-210MD</t>
  </si>
  <si>
    <t>70016-210MDJ</t>
  </si>
  <si>
    <t>70016-225HI</t>
  </si>
  <si>
    <t>70016-225HIJ</t>
  </si>
  <si>
    <t>70016-230MD</t>
  </si>
  <si>
    <t>70016-230MDJ</t>
  </si>
  <si>
    <t>70016-245MD</t>
  </si>
  <si>
    <t>70016-245MDJ</t>
  </si>
  <si>
    <t>70016-250HI</t>
  </si>
  <si>
    <t>70016-250HIJ</t>
  </si>
  <si>
    <t>70016-265MD</t>
  </si>
  <si>
    <t>70016-265MDJ</t>
  </si>
  <si>
    <t>70016-275HI</t>
  </si>
  <si>
    <t>70016-275HIJ</t>
  </si>
  <si>
    <t>70016-290HI</t>
  </si>
  <si>
    <t>70016-290HIJ</t>
  </si>
  <si>
    <t>70016-290MD</t>
  </si>
  <si>
    <t>70016-290MDJ</t>
  </si>
  <si>
    <t>70016-315HI</t>
  </si>
  <si>
    <t>70016-315HIJ</t>
  </si>
  <si>
    <t>70016-315LO</t>
  </si>
  <si>
    <t>70016-315LOJ</t>
  </si>
  <si>
    <t>70016-315MD</t>
  </si>
  <si>
    <t>70016-315MDJ</t>
  </si>
  <si>
    <t>70016-340MD</t>
  </si>
  <si>
    <t>70016-340MDJ</t>
  </si>
  <si>
    <t>70016-345HI</t>
  </si>
  <si>
    <t>70016-345HIJ</t>
  </si>
  <si>
    <t>70016-365MD</t>
  </si>
  <si>
    <t>70016-365MDJ</t>
  </si>
  <si>
    <t>70016-375HI</t>
  </si>
  <si>
    <t>70016-375HIJ</t>
  </si>
  <si>
    <t>70016-380LO</t>
  </si>
  <si>
    <t>70016-380LOJ</t>
  </si>
  <si>
    <t>70016-390MD</t>
  </si>
  <si>
    <t>70016-390MDJ</t>
  </si>
  <si>
    <t>70016-400HI</t>
  </si>
  <si>
    <t>70016-400HIJ</t>
  </si>
  <si>
    <t>70016-425HI</t>
  </si>
  <si>
    <t>70016-425HIJ</t>
  </si>
  <si>
    <t>70016-450MD</t>
  </si>
  <si>
    <t>70016-450MDJ</t>
  </si>
  <si>
    <t>70016-455HI</t>
  </si>
  <si>
    <t>70016-455HIJ</t>
  </si>
  <si>
    <t>70016-520HI</t>
  </si>
  <si>
    <t>70016-520HIJ</t>
  </si>
  <si>
    <t>70016-575HI</t>
  </si>
  <si>
    <t>70016-575HIJ</t>
  </si>
  <si>
    <t>70017-180XH</t>
  </si>
  <si>
    <t>70017-180XHJ</t>
  </si>
  <si>
    <t>70017-215XH</t>
  </si>
  <si>
    <t>70017-215XHJ</t>
  </si>
  <si>
    <t>70017-235HI</t>
  </si>
  <si>
    <t>70017-235HIJ</t>
  </si>
  <si>
    <t>70017-265XH</t>
  </si>
  <si>
    <t>70017-265XHJ</t>
  </si>
  <si>
    <t>70017-275HI</t>
  </si>
  <si>
    <t>70017-275HIJ</t>
  </si>
  <si>
    <t>70017-300MD</t>
  </si>
  <si>
    <t>70017-300MDJ</t>
  </si>
  <si>
    <t>70017-300XH</t>
  </si>
  <si>
    <t>70017-300XHJ</t>
  </si>
  <si>
    <t>70017-315HI</t>
  </si>
  <si>
    <t>70017-315HIJ</t>
  </si>
  <si>
    <t>70017-355HI</t>
  </si>
  <si>
    <t>70017-355HIJ</t>
  </si>
  <si>
    <t>70017-380XH</t>
  </si>
  <si>
    <t>70017-380XHJ</t>
  </si>
  <si>
    <t>70017-400HI</t>
  </si>
  <si>
    <t>70017-400HIJ</t>
  </si>
  <si>
    <t>70017-435XH</t>
  </si>
  <si>
    <t>70017-435XHJ</t>
  </si>
  <si>
    <t>70018-145HI</t>
  </si>
  <si>
    <t>70018-145HIJ</t>
  </si>
  <si>
    <t>70018-165HI</t>
  </si>
  <si>
    <t>70018-165HIJ</t>
  </si>
  <si>
    <t>70018-190MD</t>
  </si>
  <si>
    <t>70018-190MDJ</t>
  </si>
  <si>
    <t>70018-195LO</t>
  </si>
  <si>
    <t>70018-195LOJ</t>
  </si>
  <si>
    <t>70018-205MD</t>
  </si>
  <si>
    <t>70018-205MDJ</t>
  </si>
  <si>
    <t>70018-210HI</t>
  </si>
  <si>
    <t>70018-210HIJ</t>
  </si>
  <si>
    <t>70018-225HI</t>
  </si>
  <si>
    <t>70018-225HIJ</t>
  </si>
  <si>
    <t>70018-225MD</t>
  </si>
  <si>
    <t>70018-225MDJ</t>
  </si>
  <si>
    <t>70018-235LO</t>
  </si>
  <si>
    <t>70018-235LOJ</t>
  </si>
  <si>
    <t>70018-240HI</t>
  </si>
  <si>
    <t>70018-240HIJ</t>
  </si>
  <si>
    <t>70018-240MD</t>
  </si>
  <si>
    <t>70018-240MDJ</t>
  </si>
  <si>
    <t>70018-250XH</t>
  </si>
  <si>
    <t>70018-250XHJ</t>
  </si>
  <si>
    <t>70018-255MD</t>
  </si>
  <si>
    <t>70018-255MDJ</t>
  </si>
  <si>
    <t>70018-265HI</t>
  </si>
  <si>
    <t>70018-265HIJ</t>
  </si>
  <si>
    <t>70018-270LO</t>
  </si>
  <si>
    <t>70018-270LOJ</t>
  </si>
  <si>
    <t>70018-275XH</t>
  </si>
  <si>
    <t>70018-275XHJ</t>
  </si>
  <si>
    <t>70018-280HI</t>
  </si>
  <si>
    <t>70018-280HIJ</t>
  </si>
  <si>
    <t>70018-280MD</t>
  </si>
  <si>
    <t>70018-280MDJ</t>
  </si>
  <si>
    <t>70018-300XH</t>
  </si>
  <si>
    <t>70018-300XHJ</t>
  </si>
  <si>
    <t>70018-305HI</t>
  </si>
  <si>
    <t>70018-305HIJ</t>
  </si>
  <si>
    <t>70018-320XH</t>
  </si>
  <si>
    <t>70018-320XHJ</t>
  </si>
  <si>
    <t>70018-330HI</t>
  </si>
  <si>
    <t>70018-330HIJ</t>
  </si>
  <si>
    <t>70018-335MD</t>
  </si>
  <si>
    <t>70018-335MDJ</t>
  </si>
  <si>
    <t>70018-350XH</t>
  </si>
  <si>
    <t>70018-350XHJ</t>
  </si>
  <si>
    <t>70018-355HI</t>
  </si>
  <si>
    <t>70018-355HIJ</t>
  </si>
  <si>
    <t>70018-375XH</t>
  </si>
  <si>
    <t>70018-375XHJ</t>
  </si>
  <si>
    <t>70018-380HI</t>
  </si>
  <si>
    <t>70018-380HIJ</t>
  </si>
  <si>
    <t>70018-390MD</t>
  </si>
  <si>
    <t>70018-390MDJ</t>
  </si>
  <si>
    <t>70018-410HI</t>
  </si>
  <si>
    <t>70018-410HIJ</t>
  </si>
  <si>
    <t>70018-410XH</t>
  </si>
  <si>
    <t>70018-410XHJ</t>
  </si>
  <si>
    <t>70018-425XH</t>
  </si>
  <si>
    <t>70018-425XHJ</t>
  </si>
  <si>
    <t>70018-435HI</t>
  </si>
  <si>
    <t>70018-435HIJ</t>
  </si>
  <si>
    <t>70018-440MD</t>
  </si>
  <si>
    <t>70018-440MDJ</t>
  </si>
  <si>
    <t>70018-485XH</t>
  </si>
  <si>
    <t>70018-485XHJ</t>
  </si>
  <si>
    <t>70018-495HI</t>
  </si>
  <si>
    <t>70018-495HIJ</t>
  </si>
  <si>
    <t>70018-560HI</t>
  </si>
  <si>
    <t>70018-560HIJ</t>
  </si>
  <si>
    <t>70018-565XH</t>
  </si>
  <si>
    <t>70018-565XHJ</t>
  </si>
  <si>
    <t>70018-620XH</t>
  </si>
  <si>
    <t>70018-620XHJ</t>
  </si>
  <si>
    <t>70019-185MD</t>
  </si>
  <si>
    <t>70019-185MDJ</t>
  </si>
  <si>
    <t>70019-200MD</t>
  </si>
  <si>
    <t>70019-200MDJ</t>
  </si>
  <si>
    <t>70019-220MD</t>
  </si>
  <si>
    <t>70019-220MDJ</t>
  </si>
  <si>
    <t>70019-230HI</t>
  </si>
  <si>
    <t>70019-230HIJ</t>
  </si>
  <si>
    <t>70019-230LO</t>
  </si>
  <si>
    <t>70019-230LOJ</t>
  </si>
  <si>
    <t>70019-245MD</t>
  </si>
  <si>
    <t>70019-245MDJ</t>
  </si>
  <si>
    <t>70019-250HI</t>
  </si>
  <si>
    <t>70019-250HIJ</t>
  </si>
  <si>
    <t>70019-270HI</t>
  </si>
  <si>
    <t>70019-270HIJ</t>
  </si>
  <si>
    <t>70019-270LO</t>
  </si>
  <si>
    <t>70019-270LOJ</t>
  </si>
  <si>
    <t>70019-275MD</t>
  </si>
  <si>
    <t>70019-275MDJ</t>
  </si>
  <si>
    <t>70019-290XH</t>
  </si>
  <si>
    <t>70019-290XHJ</t>
  </si>
  <si>
    <t>70019-315HI</t>
  </si>
  <si>
    <t>70019-315HIJ</t>
  </si>
  <si>
    <t>70019-315MD</t>
  </si>
  <si>
    <t>70019-315MDJ</t>
  </si>
  <si>
    <t>70019-315XH</t>
  </si>
  <si>
    <t>70019-315XHJ</t>
  </si>
  <si>
    <t>70019-360HI</t>
  </si>
  <si>
    <t>70019-360HIJ</t>
  </si>
  <si>
    <t>70019-360MD</t>
  </si>
  <si>
    <t>70019-360MDJ</t>
  </si>
  <si>
    <t>70019-410HI</t>
  </si>
  <si>
    <t>70019-410HIJ</t>
  </si>
  <si>
    <t>70019-410MD</t>
  </si>
  <si>
    <t>70019-410MDJ</t>
  </si>
  <si>
    <t>70019-410XH</t>
  </si>
  <si>
    <t>70019-410XHJ</t>
  </si>
  <si>
    <t>70019-465HI</t>
  </si>
  <si>
    <t>70019-465HIJ</t>
  </si>
  <si>
    <t>70019-465MD</t>
  </si>
  <si>
    <t>70019-465MDJ</t>
  </si>
  <si>
    <t>70020-270HI</t>
  </si>
  <si>
    <t>70020-270HIJ</t>
  </si>
  <si>
    <t>70020-345HI</t>
  </si>
  <si>
    <t>70020-345HIJ</t>
  </si>
  <si>
    <t>70020-395HI</t>
  </si>
  <si>
    <t>70020-395HIJ</t>
  </si>
  <si>
    <t>70020-405MD</t>
  </si>
  <si>
    <t>70020-405MDJ</t>
  </si>
  <si>
    <t>70020-435XH</t>
  </si>
  <si>
    <t>70020-435XHJ</t>
  </si>
  <si>
    <t>70020-440HI</t>
  </si>
  <si>
    <t>70020-440HIJ</t>
  </si>
  <si>
    <t>70020-490HI</t>
  </si>
  <si>
    <t>70020-490HIJ</t>
  </si>
  <si>
    <t>70020-500MD</t>
  </si>
  <si>
    <t>70020-500MDJ</t>
  </si>
  <si>
    <t>70020-505LO</t>
  </si>
  <si>
    <t>70020-505LOJ</t>
  </si>
  <si>
    <t>70020-535HI</t>
  </si>
  <si>
    <t>70020-535HIJ</t>
  </si>
  <si>
    <t>70021-180MD</t>
  </si>
  <si>
    <t>70021-180MDJ</t>
  </si>
  <si>
    <t>70021-285HI</t>
  </si>
  <si>
    <t>70021-285HIJ</t>
  </si>
  <si>
    <t>70021-535LO</t>
  </si>
  <si>
    <t>70021-535LOJ</t>
  </si>
  <si>
    <t>70021-560MD</t>
  </si>
  <si>
    <t>70021-560MDJ</t>
  </si>
  <si>
    <t>70021-580HI</t>
  </si>
  <si>
    <t>70021-580HIJ</t>
  </si>
  <si>
    <t>7022-350</t>
  </si>
  <si>
    <t>7022-350J</t>
  </si>
  <si>
    <t>723-200-3</t>
  </si>
  <si>
    <t>723-200J</t>
  </si>
  <si>
    <t>723-300-3</t>
  </si>
  <si>
    <t>723-300J</t>
  </si>
  <si>
    <t>723-400-3</t>
  </si>
  <si>
    <t>723-400J</t>
  </si>
  <si>
    <t>723-500-3</t>
  </si>
  <si>
    <t>723-500J</t>
  </si>
  <si>
    <t>723-600-3</t>
  </si>
  <si>
    <t>723-600J</t>
  </si>
  <si>
    <t>723-700-3</t>
  </si>
  <si>
    <t>723-700J</t>
  </si>
  <si>
    <t>724-200-3</t>
  </si>
  <si>
    <t>724-200J</t>
  </si>
  <si>
    <t>M70025-200HIM</t>
  </si>
  <si>
    <t>M70025-200HIMJ</t>
  </si>
  <si>
    <t>M70025</t>
  </si>
  <si>
    <t>M70025-275HIM</t>
  </si>
  <si>
    <t>M70025-275HIMJ</t>
  </si>
  <si>
    <t>M70026-185LOM</t>
  </si>
  <si>
    <t>M70026-185LOMJ</t>
  </si>
  <si>
    <t>M70026</t>
  </si>
  <si>
    <t>linha B cat06</t>
  </si>
  <si>
    <t>linha A cat04</t>
  </si>
  <si>
    <t>linha B cat05</t>
  </si>
  <si>
    <t>linha A cat01</t>
  </si>
  <si>
    <t>linha C cat08</t>
  </si>
  <si>
    <t>linha A cat03</t>
  </si>
  <si>
    <t>linha A cat02</t>
  </si>
  <si>
    <t>linha C cat07</t>
  </si>
  <si>
    <t>linha C cat09</t>
  </si>
  <si>
    <t>cat01</t>
  </si>
  <si>
    <t>cat01 Maquina</t>
  </si>
  <si>
    <t>cat02</t>
  </si>
  <si>
    <t>cat02 Maquina</t>
  </si>
  <si>
    <t>cat03</t>
  </si>
  <si>
    <t>cat04</t>
  </si>
  <si>
    <t>cat05</t>
  </si>
  <si>
    <t>cat06</t>
  </si>
  <si>
    <t>cat07</t>
  </si>
  <si>
    <t>cat08</t>
  </si>
  <si>
    <t>cat09</t>
  </si>
  <si>
    <t>MLD-008</t>
  </si>
  <si>
    <t>MLD-010</t>
  </si>
  <si>
    <t>MLD-009</t>
  </si>
  <si>
    <t>MLD-012</t>
  </si>
  <si>
    <t>MLD-011</t>
  </si>
  <si>
    <t>MLD-014</t>
  </si>
  <si>
    <t>MLD-015</t>
  </si>
  <si>
    <t>MLD-016</t>
  </si>
  <si>
    <t>MLD-017</t>
  </si>
  <si>
    <t>MLD-018</t>
  </si>
  <si>
    <t>MLD-019</t>
  </si>
  <si>
    <t>MLD-013</t>
  </si>
  <si>
    <t>MLD-020</t>
  </si>
  <si>
    <t>MLD-021</t>
  </si>
  <si>
    <t>MLD-022</t>
  </si>
  <si>
    <t>MLD-023</t>
  </si>
  <si>
    <t>MLD-024</t>
  </si>
  <si>
    <t>MLD-025</t>
  </si>
  <si>
    <t>MLD-026</t>
  </si>
  <si>
    <t>MLD-027</t>
  </si>
  <si>
    <t>MLD-028</t>
  </si>
  <si>
    <t>MLD-029</t>
  </si>
  <si>
    <t>MLD-030</t>
  </si>
  <si>
    <t>MLD-031</t>
  </si>
  <si>
    <t>MLD-032</t>
  </si>
  <si>
    <t>MLD-052</t>
  </si>
  <si>
    <t>MLD-054</t>
  </si>
  <si>
    <t>MLD-055</t>
  </si>
  <si>
    <t>MLD-098</t>
  </si>
  <si>
    <t>MLD-056</t>
  </si>
  <si>
    <t>MLD-001</t>
  </si>
  <si>
    <t>MLD-002</t>
  </si>
  <si>
    <t>MLD-003</t>
  </si>
  <si>
    <t>MLD-004</t>
  </si>
  <si>
    <t>MLD-005</t>
  </si>
  <si>
    <t>MLD-006</t>
  </si>
  <si>
    <t>MLD-045</t>
  </si>
  <si>
    <t>MLD-046</t>
  </si>
  <si>
    <t>MLD-047</t>
  </si>
  <si>
    <t>MLD-060</t>
  </si>
  <si>
    <t>MLD-048</t>
  </si>
  <si>
    <t>MLD-049</t>
  </si>
  <si>
    <t>MLD-050</t>
  </si>
  <si>
    <t>MLD-061</t>
  </si>
  <si>
    <t>MLD-262</t>
  </si>
  <si>
    <t>MLD-062</t>
  </si>
  <si>
    <t>MLD-263</t>
  </si>
  <si>
    <t>MLD-063</t>
  </si>
  <si>
    <t>MLD-051</t>
  </si>
  <si>
    <t>MLD-064</t>
  </si>
  <si>
    <t>MLD-065</t>
  </si>
  <si>
    <t>MLD-053</t>
  </si>
  <si>
    <t>MLD-066</t>
  </si>
  <si>
    <t>MLD-067</t>
  </si>
  <si>
    <t>MLD-068</t>
  </si>
  <si>
    <t>MLD-069</t>
  </si>
  <si>
    <t>MLD-070</t>
  </si>
  <si>
    <t>MLD-071</t>
  </si>
  <si>
    <t>MLD-057</t>
  </si>
  <si>
    <t>MLD-072</t>
  </si>
  <si>
    <t>MLD-058</t>
  </si>
  <si>
    <t>MLD-073</t>
  </si>
  <si>
    <t>MLD-059</t>
  </si>
  <si>
    <t>MLD-074</t>
  </si>
  <si>
    <t>MLD-075</t>
  </si>
  <si>
    <t>MLD-178</t>
  </si>
  <si>
    <t>MLD-179</t>
  </si>
  <si>
    <t>MLD-180</t>
  </si>
  <si>
    <t>MLD-187</t>
  </si>
  <si>
    <t>MLD-181</t>
  </si>
  <si>
    <t>MLD-188</t>
  </si>
  <si>
    <t>MLD-197</t>
  </si>
  <si>
    <t>MLD-189</t>
  </si>
  <si>
    <t>MLD-182</t>
  </si>
  <si>
    <t>MLD-190</t>
  </si>
  <si>
    <t>MLD-198</t>
  </si>
  <si>
    <t>MLD-191</t>
  </si>
  <si>
    <t>MLD-207</t>
  </si>
  <si>
    <t>MLD-224</t>
  </si>
  <si>
    <t>MLD-199</t>
  </si>
  <si>
    <t>MLD-183</t>
  </si>
  <si>
    <t>MLD-192</t>
  </si>
  <si>
    <t>MLD-208</t>
  </si>
  <si>
    <t>MLD-200</t>
  </si>
  <si>
    <t>MLD-201</t>
  </si>
  <si>
    <t>MLD-225</t>
  </si>
  <si>
    <t>MLD-226</t>
  </si>
  <si>
    <t>MLD-209</t>
  </si>
  <si>
    <t>MLD-210</t>
  </si>
  <si>
    <t>MLD-193</t>
  </si>
  <si>
    <t>MLD-202</t>
  </si>
  <si>
    <t>MLD-184</t>
  </si>
  <si>
    <t>MLD-227</t>
  </si>
  <si>
    <t>MLD-185</t>
  </si>
  <si>
    <t>MLD-211</t>
  </si>
  <si>
    <t>MLD-228</t>
  </si>
  <si>
    <t>MLD-212</t>
  </si>
  <si>
    <t>MLD-194</t>
  </si>
  <si>
    <t>MLD-203</t>
  </si>
  <si>
    <t>MLD-231</t>
  </si>
  <si>
    <t>MLD-229</t>
  </si>
  <si>
    <t>MLD-186</t>
  </si>
  <si>
    <t>MLD-213</t>
  </si>
  <si>
    <t>MLD-195</t>
  </si>
  <si>
    <t>MLD-204</t>
  </si>
  <si>
    <t>MLD-232</t>
  </si>
  <si>
    <t>MLD-205</t>
  </si>
  <si>
    <t>MLD-196</t>
  </si>
  <si>
    <t>MLD-206</t>
  </si>
  <si>
    <t>MLD-215</t>
  </si>
  <si>
    <t>MLD-216</t>
  </si>
  <si>
    <t>MLD-107</t>
  </si>
  <si>
    <t>MLD-113</t>
  </si>
  <si>
    <t>MLD-109</t>
  </si>
  <si>
    <t>MLD-114</t>
  </si>
  <si>
    <t>MLD-223</t>
  </si>
  <si>
    <t>MLD-122</t>
  </si>
  <si>
    <t>MLD-115</t>
  </si>
  <si>
    <t>MLD-123</t>
  </si>
  <si>
    <t>MLD-116</t>
  </si>
  <si>
    <t>MLD-099</t>
  </si>
  <si>
    <t>MLD-124</t>
  </si>
  <si>
    <t>MLD-217</t>
  </si>
  <si>
    <t>MLD-125</t>
  </si>
  <si>
    <t>MLD-117</t>
  </si>
  <si>
    <t>MLD-100</t>
  </si>
  <si>
    <t>MLD-219</t>
  </si>
  <si>
    <t>MLD-218</t>
  </si>
  <si>
    <t>MLD-112</t>
  </si>
  <si>
    <t>MLD-126</t>
  </si>
  <si>
    <t>MLD-118</t>
  </si>
  <si>
    <t>MLD-101</t>
  </si>
  <si>
    <t>MLD-220</t>
  </si>
  <si>
    <t>MLD-221</t>
  </si>
  <si>
    <t>MLD-119</t>
  </si>
  <si>
    <t>MLD-127</t>
  </si>
  <si>
    <t>MLD-222</t>
  </si>
  <si>
    <t>MLD-120</t>
  </si>
  <si>
    <t>MLD-128</t>
  </si>
  <si>
    <t>MLD-102</t>
  </si>
  <si>
    <t>MLD-121</t>
  </si>
  <si>
    <t>MLD-103</t>
  </si>
  <si>
    <t>MLD-130</t>
  </si>
  <si>
    <t>MLD-104</t>
  </si>
  <si>
    <t>MLD-105</t>
  </si>
  <si>
    <t>MLD-076</t>
  </si>
  <si>
    <t>MLD-131</t>
  </si>
  <si>
    <t>MLD-077</t>
  </si>
  <si>
    <t>MLD-132</t>
  </si>
  <si>
    <t>MLD-139</t>
  </si>
  <si>
    <t>MLD-140</t>
  </si>
  <si>
    <t>MLD-078</t>
  </si>
  <si>
    <t>MLD-133</t>
  </si>
  <si>
    <t>MLD-079</t>
  </si>
  <si>
    <t>MLD-134</t>
  </si>
  <si>
    <t>MLD-080</t>
  </si>
  <si>
    <t>MLD-082</t>
  </si>
  <si>
    <t>MLD-081</t>
  </si>
  <si>
    <t>MLD-141</t>
  </si>
  <si>
    <t>MLD-135</t>
  </si>
  <si>
    <t>MLD-083</t>
  </si>
  <si>
    <t>MLD-142</t>
  </si>
  <si>
    <t>MLD-136</t>
  </si>
  <si>
    <t>MLD-084</t>
  </si>
  <si>
    <t>MLD-085</t>
  </si>
  <si>
    <t>MLD-086</t>
  </si>
  <si>
    <t>MLD-137</t>
  </si>
  <si>
    <t>MLD-087</t>
  </si>
  <si>
    <t>MLD-088</t>
  </si>
  <si>
    <t>MLD-138</t>
  </si>
  <si>
    <t>MLD-144</t>
  </si>
  <si>
    <t>MLD-153</t>
  </si>
  <si>
    <t>MLD-154</t>
  </si>
  <si>
    <t>MLD-161</t>
  </si>
  <si>
    <t>MLD-145</t>
  </si>
  <si>
    <t>MLD-155</t>
  </si>
  <si>
    <t>MLD-162</t>
  </si>
  <si>
    <t>MLD-170</t>
  </si>
  <si>
    <t>MLD-146</t>
  </si>
  <si>
    <t>MLD-163</t>
  </si>
  <si>
    <t>MLD-171</t>
  </si>
  <si>
    <t>MLD-147</t>
  </si>
  <si>
    <t>MLD-156</t>
  </si>
  <si>
    <t>MLD-164</t>
  </si>
  <si>
    <t>MLD-172</t>
  </si>
  <si>
    <t>MLD-148</t>
  </si>
  <si>
    <t>MLD-157</t>
  </si>
  <si>
    <t>MLD-165</t>
  </si>
  <si>
    <t>MLD-173</t>
  </si>
  <si>
    <t>MLD-149</t>
  </si>
  <si>
    <t>MLD-166</t>
  </si>
  <si>
    <t>MLD-174</t>
  </si>
  <si>
    <t>MLD-150</t>
  </si>
  <si>
    <t>MLD-158</t>
  </si>
  <si>
    <t>MLD-167</t>
  </si>
  <si>
    <t>MLD-175</t>
  </si>
  <si>
    <t>MLD-151</t>
  </si>
  <si>
    <t>MLD-159</t>
  </si>
  <si>
    <t>MLD-168</t>
  </si>
  <si>
    <t>MLD-152</t>
  </si>
  <si>
    <t>MLD-169</t>
  </si>
  <si>
    <t>MLD-230</t>
  </si>
  <si>
    <t>MLD-106</t>
  </si>
  <si>
    <t>MLD-090</t>
  </si>
  <si>
    <t>MLD-176</t>
  </si>
  <si>
    <t>MLD-235</t>
  </si>
  <si>
    <t>MLD-236</t>
  </si>
  <si>
    <t>MLD-246</t>
  </si>
  <si>
    <t>MLD-237</t>
  </si>
  <si>
    <t>MLD-238</t>
  </si>
  <si>
    <t>MLD-247</t>
  </si>
  <si>
    <t>MLD-239</t>
  </si>
  <si>
    <t>MLD-248</t>
  </si>
  <si>
    <t>MLD-249</t>
  </si>
  <si>
    <t>MLD-240</t>
  </si>
  <si>
    <t>MLD-250</t>
  </si>
  <si>
    <t>MLD-233</t>
  </si>
  <si>
    <t>MLD-241</t>
  </si>
  <si>
    <t>MLD-242</t>
  </si>
  <si>
    <t>MLD-251</t>
  </si>
  <si>
    <t>MLD-243</t>
  </si>
  <si>
    <t>MLD-252</t>
  </si>
  <si>
    <t>MLD-234</t>
  </si>
  <si>
    <t>MLD-244</t>
  </si>
  <si>
    <t>MLD-253</t>
  </si>
  <si>
    <t>MLD-254</t>
  </si>
  <si>
    <t>MLD-245</t>
  </si>
  <si>
    <t>MLD-255</t>
  </si>
  <si>
    <t>MLD-256</t>
  </si>
  <si>
    <t>MLD-257</t>
  </si>
  <si>
    <t>MLD-033</t>
  </si>
  <si>
    <t>MLD-034</t>
  </si>
  <si>
    <t>MLD-035</t>
  </si>
  <si>
    <t>MLD-036</t>
  </si>
  <si>
    <t>MLD-037</t>
  </si>
  <si>
    <t>MLD-038</t>
  </si>
  <si>
    <t>MLD-039</t>
  </si>
  <si>
    <t>MLD-040</t>
  </si>
  <si>
    <t>MLD-041</t>
  </si>
  <si>
    <t>MLD-042</t>
  </si>
  <si>
    <t>MLD-043</t>
  </si>
  <si>
    <t>MLD-044</t>
  </si>
  <si>
    <t>MLD-261</t>
  </si>
  <si>
    <t>MLD-259</t>
  </si>
  <si>
    <t>MLD-260</t>
  </si>
  <si>
    <t>MLD-214</t>
  </si>
  <si>
    <t>MLD-110</t>
  </si>
  <si>
    <t>MLD-111</t>
  </si>
  <si>
    <t>MLD-129</t>
  </si>
  <si>
    <t>MLD-177</t>
  </si>
  <si>
    <t>MLD-143</t>
  </si>
  <si>
    <t>MLD-089</t>
  </si>
  <si>
    <t>MLD-160</t>
  </si>
  <si>
    <t>MLD-007</t>
  </si>
  <si>
    <t>MLD-091</t>
  </si>
  <si>
    <t>MLD-092</t>
  </si>
  <si>
    <t>MLD-093</t>
  </si>
  <si>
    <t>MLD-094</t>
  </si>
  <si>
    <t>MLD-095</t>
  </si>
  <si>
    <t>MLD-096</t>
  </si>
  <si>
    <t>MLD-097</t>
  </si>
  <si>
    <t>MLD-258</t>
  </si>
  <si>
    <t>MLD-108</t>
  </si>
  <si>
    <t>Cabo</t>
  </si>
  <si>
    <t>VGA</t>
  </si>
  <si>
    <t>HDMI</t>
  </si>
  <si>
    <t>Maquina VGA</t>
  </si>
  <si>
    <t>Displayport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</si>
</sst>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rgb="FFFFFFFF"/>
      <name val="Arial"/>
      <family val="2"/>
    </font>
    <font>
      <sz val="22"/>
      <color theme="1"/>
      <name val="Bahnschrift"/>
      <family val="2"/>
    </font>
    <font>
      <b/>
      <sz val="14"/>
      <color theme="0"/>
      <name val="Bahnschrift"/>
      <family val="2"/>
    </font>
    <font>
      <sz val="16"/>
      <color theme="0"/>
      <name val="Bahnschrift"/>
      <family val="2"/>
    </font>
    <font>
      <sz val="16"/>
      <color theme="1"/>
      <name val="Bahnschrift"/>
      <family val="2"/>
    </font>
    <font>
      <sz val="16"/>
      <color rgb="FFFF0000"/>
      <name val="Bahnschrift"/>
      <family val="2"/>
    </font>
    <font>
      <b/>
      <sz val="18"/>
      <color rgb="FFFFFFFF"/>
      <name val="Bahnschrif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73935"/>
        <bgColor rgb="FF373935"/>
      </patternFill>
    </fill>
    <fill>
      <patternFill patternType="solid">
        <fgColor rgb="FFFC390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ECCBE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D8767"/>
        <bgColor indexed="64"/>
      </patternFill>
    </fill>
    <fill>
      <patternFill patternType="solid">
        <fgColor rgb="FFE6E6E6"/>
        <bgColor rgb="FF373935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FF6A39"/>
      </top>
      <bottom style="thin">
        <color rgb="FF75787B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rgb="FFFF6A39"/>
      </top>
      <bottom style="thin">
        <color indexed="64"/>
      </bottom>
      <diagonal/>
    </border>
    <border>
      <left/>
      <right/>
      <top style="medium">
        <color rgb="FFFF6A39"/>
      </top>
      <bottom style="thin">
        <color indexed="64"/>
      </bottom>
      <diagonal/>
    </border>
    <border>
      <left/>
      <right style="thin">
        <color indexed="64"/>
      </right>
      <top style="medium">
        <color rgb="FFFF6A39"/>
      </top>
      <bottom style="thin">
        <color indexed="64"/>
      </bottom>
      <diagonal/>
    </border>
    <border>
      <left/>
      <right/>
      <top style="medium">
        <color rgb="FFFF6A3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4" fillId="0" borderId="1" xfId="1" applyNumberFormat="1" applyFont="1" applyFill="1" applyBorder="1" applyAlignment="1">
      <alignment horizontal="center" vertical="center" wrapText="1"/>
    </xf>
    <xf numFmtId="9" fontId="4" fillId="0" borderId="1" xfId="2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0" xfId="1" applyNumberFormat="1" applyFont="1" applyAlignment="1" applyProtection="1">
      <alignment horizontal="center"/>
    </xf>
    <xf numFmtId="1" fontId="0" fillId="8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0" fillId="0" borderId="0" xfId="1" applyNumberFormat="1" applyFont="1" applyFill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0" fillId="0" borderId="1" xfId="0" quotePrefix="1" applyNumberForma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6" borderId="2" xfId="0" applyNumberFormat="1" applyFon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6" fontId="2" fillId="11" borderId="1" xfId="0" applyNumberFormat="1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" fontId="0" fillId="12" borderId="0" xfId="0" applyNumberFormat="1" applyFill="1" applyAlignment="1">
      <alignment horizontal="center"/>
    </xf>
    <xf numFmtId="1" fontId="7" fillId="12" borderId="0" xfId="0" applyNumberFormat="1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44" fontId="7" fillId="12" borderId="0" xfId="3" applyFont="1" applyFill="1" applyBorder="1" applyAlignment="1">
      <alignment horizontal="center"/>
    </xf>
    <xf numFmtId="9" fontId="7" fillId="12" borderId="0" xfId="0" applyNumberFormat="1" applyFont="1" applyFill="1" applyAlignment="1">
      <alignment horizontal="center"/>
    </xf>
    <xf numFmtId="44" fontId="7" fillId="12" borderId="0" xfId="0" applyNumberFormat="1" applyFont="1" applyFill="1" applyAlignment="1">
      <alignment horizontal="center"/>
    </xf>
    <xf numFmtId="1" fontId="4" fillId="12" borderId="0" xfId="0" applyNumberFormat="1" applyFont="1" applyFill="1" applyAlignment="1">
      <alignment horizontal="center"/>
    </xf>
    <xf numFmtId="1" fontId="0" fillId="12" borderId="0" xfId="2" applyNumberFormat="1" applyFont="1" applyFill="1" applyAlignment="1">
      <alignment horizontal="center"/>
    </xf>
    <xf numFmtId="0" fontId="6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/>
    </xf>
    <xf numFmtId="9" fontId="0" fillId="12" borderId="0" xfId="2" applyFont="1" applyFill="1" applyBorder="1" applyAlignment="1" applyProtection="1">
      <alignment horizontal="center" vertical="center" wrapText="1"/>
    </xf>
    <xf numFmtId="0" fontId="10" fillId="12" borderId="0" xfId="0" applyFont="1" applyFill="1" applyAlignment="1">
      <alignment horizontal="center"/>
    </xf>
    <xf numFmtId="1" fontId="0" fillId="12" borderId="0" xfId="2" applyNumberFormat="1" applyFont="1" applyFill="1" applyAlignment="1" applyProtection="1">
      <alignment horizontal="center"/>
    </xf>
    <xf numFmtId="1" fontId="2" fillId="3" borderId="1" xfId="0" applyNumberFormat="1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2" fillId="12" borderId="0" xfId="0" applyFont="1" applyFill="1" applyAlignment="1">
      <alignment vertical="center"/>
    </xf>
    <xf numFmtId="0" fontId="14" fillId="11" borderId="6" xfId="0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13" borderId="9" xfId="0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1" fontId="2" fillId="11" borderId="1" xfId="0" applyNumberFormat="1" applyFont="1" applyFill="1" applyBorder="1" applyAlignment="1">
      <alignment horizontal="center" vertical="center" wrapText="1"/>
    </xf>
    <xf numFmtId="1" fontId="0" fillId="12" borderId="0" xfId="0" applyNumberFormat="1" applyFill="1" applyAlignment="1">
      <alignment horizontal="center" wrapText="1"/>
    </xf>
    <xf numFmtId="0" fontId="6" fillId="12" borderId="0" xfId="0" applyFont="1" applyFill="1" applyAlignment="1">
      <alignment horizontal="center" wrapText="1"/>
    </xf>
    <xf numFmtId="1" fontId="0" fillId="0" borderId="0" xfId="0" applyNumberFormat="1" applyAlignment="1">
      <alignment horizontal="center" wrapText="1"/>
    </xf>
    <xf numFmtId="1" fontId="7" fillId="0" borderId="1" xfId="0" applyNumberFormat="1" applyFont="1" applyBorder="1" applyAlignment="1">
      <alignment horizontal="center" vertical="center" wrapText="1"/>
    </xf>
    <xf numFmtId="16" fontId="4" fillId="15" borderId="1" xfId="0" applyNumberFormat="1" applyFont="1" applyFill="1" applyBorder="1" applyAlignment="1">
      <alignment horizontal="center" vertical="center"/>
    </xf>
    <xf numFmtId="0" fontId="11" fillId="16" borderId="1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4" fillId="3" borderId="14" xfId="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3" fontId="15" fillId="2" borderId="8" xfId="0" applyNumberFormat="1" applyFont="1" applyFill="1" applyBorder="1" applyAlignment="1">
      <alignment horizontal="center" vertical="center"/>
    </xf>
    <xf numFmtId="3" fontId="16" fillId="2" borderId="8" xfId="0" applyNumberFormat="1" applyFont="1" applyFill="1" applyBorder="1" applyAlignment="1">
      <alignment horizontal="center" vertical="center"/>
    </xf>
    <xf numFmtId="3" fontId="4" fillId="2" borderId="5" xfId="2" applyNumberFormat="1" applyFont="1" applyFill="1" applyBorder="1" applyAlignment="1">
      <alignment horizontal="center" vertical="center"/>
    </xf>
    <xf numFmtId="3" fontId="4" fillId="2" borderId="6" xfId="2" applyNumberFormat="1" applyFont="1" applyFill="1" applyBorder="1" applyAlignment="1">
      <alignment horizontal="center" vertical="center"/>
    </xf>
    <xf numFmtId="3" fontId="4" fillId="2" borderId="4" xfId="2" applyNumberFormat="1" applyFon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1" fontId="2" fillId="17" borderId="1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17" fillId="10" borderId="10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17" fillId="10" borderId="12" xfId="0" applyFont="1" applyFill="1" applyBorder="1" applyAlignment="1">
      <alignment horizontal="center" vertical="center" wrapText="1"/>
    </xf>
    <xf numFmtId="1" fontId="2" fillId="3" borderId="15" xfId="0" applyNumberFormat="1" applyFont="1" applyFill="1" applyBorder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2"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C3903"/>
      <color rgb="FFE6E6E6"/>
      <color rgb="FF373935"/>
      <color rgb="FFFD8767"/>
      <color rgb="FFE20000"/>
      <color rgb="FFFECCBE"/>
      <color rgb="FFDDDDDD"/>
      <color rgb="FFFFFF4F"/>
      <color rgb="FFFF9393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11906</xdr:colOff>
      <xdr:row>2</xdr:row>
      <xdr:rowOff>321467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5158B4E-F773-D688-B0E5-552A9ECD8C8D}"/>
            </a:ext>
          </a:extLst>
        </xdr:cNvPr>
        <xdr:cNvSpPr/>
      </xdr:nvSpPr>
      <xdr:spPr>
        <a:xfrm>
          <a:off x="0" y="0"/>
          <a:ext cx="15740062" cy="964405"/>
        </a:xfrm>
        <a:prstGeom prst="rect">
          <a:avLst/>
        </a:prstGeom>
        <a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24</xdr:col>
      <xdr:colOff>142874</xdr:colOff>
      <xdr:row>0</xdr:row>
      <xdr:rowOff>46925</xdr:rowOff>
    </xdr:from>
    <xdr:ext cx="2405063" cy="857250"/>
    <xdr:sp macro="[0]!Diarização" textlink="">
      <xdr:nvSpPr>
        <xdr:cNvPr id="3" name="Retângulo 2">
          <a:extLst>
            <a:ext uri="{FF2B5EF4-FFF2-40B4-BE49-F238E27FC236}">
              <a16:creationId xmlns:a16="http://schemas.microsoft.com/office/drawing/2014/main" id="{FD5E8E0A-77F4-7145-22C1-EF4772B717C0}"/>
            </a:ext>
          </a:extLst>
        </xdr:cNvPr>
        <xdr:cNvSpPr/>
      </xdr:nvSpPr>
      <xdr:spPr>
        <a:xfrm>
          <a:off x="10631580" y="46925"/>
          <a:ext cx="2405063" cy="857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800">
              <a:latin typeface="Bahnschrift" panose="020B0502040204020203" pitchFamily="34" charset="0"/>
            </a:rPr>
            <a:t>   Gerar</a:t>
          </a:r>
          <a:r>
            <a:rPr lang="pt-BR" sz="1800" baseline="0">
              <a:latin typeface="Bahnschrift" panose="020B0502040204020203" pitchFamily="34" charset="0"/>
            </a:rPr>
            <a:t> </a:t>
          </a:r>
          <a:r>
            <a:rPr lang="pt-BR" sz="1800" baseline="0">
              <a:solidFill>
                <a:schemeClr val="lt1"/>
              </a:solidFill>
              <a:latin typeface="Bahnschrift" panose="020B0502040204020203" pitchFamily="34" charset="0"/>
            </a:rPr>
            <a:t>Plano</a:t>
          </a:r>
          <a:endParaRPr lang="pt-BR" sz="1800">
            <a:solidFill>
              <a:schemeClr val="lt1"/>
            </a:solidFill>
            <a:latin typeface="Bahnschrift" panose="020B0502040204020203" pitchFamily="34" charset="0"/>
          </a:endParaRPr>
        </a:p>
      </xdr:txBody>
    </xdr:sp>
    <xdr:clientData/>
  </xdr:oneCellAnchor>
  <xdr:twoCellAnchor>
    <xdr:from>
      <xdr:col>2</xdr:col>
      <xdr:colOff>358584</xdr:colOff>
      <xdr:row>1</xdr:row>
      <xdr:rowOff>139372</xdr:rowOff>
    </xdr:from>
    <xdr:to>
      <xdr:col>3</xdr:col>
      <xdr:colOff>1372720</xdr:colOff>
      <xdr:row>2</xdr:row>
      <xdr:rowOff>234623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1AEA817-4334-6FB7-2B42-9347F37BE613}"/>
            </a:ext>
          </a:extLst>
        </xdr:cNvPr>
        <xdr:cNvSpPr txBox="1"/>
      </xdr:nvSpPr>
      <xdr:spPr>
        <a:xfrm>
          <a:off x="2476496" y="464343"/>
          <a:ext cx="1933018" cy="420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  <a:latin typeface="Bahnschrift" panose="020B0502040204020203" pitchFamily="34" charset="0"/>
            </a:rPr>
            <a:t>Periodo</a:t>
          </a:r>
          <a:r>
            <a:rPr lang="pt-BR" sz="1600" baseline="0">
              <a:solidFill>
                <a:schemeClr val="bg1"/>
              </a:solidFill>
              <a:latin typeface="Bahnschrift" panose="020B0502040204020203" pitchFamily="34" charset="0"/>
            </a:rPr>
            <a:t> de Janeiro</a:t>
          </a:r>
          <a:endParaRPr lang="pt-BR" sz="16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23</xdr:col>
      <xdr:colOff>1012031</xdr:colOff>
      <xdr:row>5</xdr:row>
      <xdr:rowOff>1</xdr:rowOff>
    </xdr:from>
    <xdr:to>
      <xdr:col>25</xdr:col>
      <xdr:colOff>11906</xdr:colOff>
      <xdr:row>7</xdr:row>
      <xdr:rowOff>23814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28D0311-FDA4-4345-DD50-2DE2ABCC4FCF}"/>
            </a:ext>
          </a:extLst>
        </xdr:cNvPr>
        <xdr:cNvSpPr/>
      </xdr:nvSpPr>
      <xdr:spPr>
        <a:xfrm>
          <a:off x="12299156" y="1607345"/>
          <a:ext cx="1095375" cy="666750"/>
        </a:xfrm>
        <a:prstGeom prst="roundRect">
          <a:avLst>
            <a:gd name="adj" fmla="val 3572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1820</xdr:colOff>
      <xdr:row>8</xdr:row>
      <xdr:rowOff>11206</xdr:rowOff>
    </xdr:from>
    <xdr:to>
      <xdr:col>25</xdr:col>
      <xdr:colOff>0</xdr:colOff>
      <xdr:row>10</xdr:row>
      <xdr:rowOff>9526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B7B186C-688F-4B29-9FBD-71DDBB4CEAD1}"/>
            </a:ext>
          </a:extLst>
        </xdr:cNvPr>
        <xdr:cNvSpPr/>
      </xdr:nvSpPr>
      <xdr:spPr>
        <a:xfrm>
          <a:off x="12317085" y="2610971"/>
          <a:ext cx="1242033" cy="648261"/>
        </a:xfrm>
        <a:prstGeom prst="roundRect">
          <a:avLst>
            <a:gd name="adj" fmla="val 3572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981</xdr:colOff>
      <xdr:row>11</xdr:row>
      <xdr:rowOff>0</xdr:rowOff>
    </xdr:from>
    <xdr:to>
      <xdr:col>25</xdr:col>
      <xdr:colOff>11906</xdr:colOff>
      <xdr:row>13</xdr:row>
      <xdr:rowOff>7146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19E5320-92FD-448F-8193-B7105C9D6D34}"/>
            </a:ext>
          </a:extLst>
        </xdr:cNvPr>
        <xdr:cNvSpPr/>
      </xdr:nvSpPr>
      <xdr:spPr>
        <a:xfrm>
          <a:off x="10556922" y="4022912"/>
          <a:ext cx="1086690" cy="769146"/>
        </a:xfrm>
        <a:prstGeom prst="roundRect">
          <a:avLst>
            <a:gd name="adj" fmla="val 3572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9523</xdr:colOff>
      <xdr:row>0</xdr:row>
      <xdr:rowOff>0</xdr:rowOff>
    </xdr:from>
    <xdr:to>
      <xdr:col>70</xdr:col>
      <xdr:colOff>11905</xdr:colOff>
      <xdr:row>2</xdr:row>
      <xdr:rowOff>321467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C3C6F26-C6A4-424C-A937-8A6DAAE01036}"/>
            </a:ext>
          </a:extLst>
        </xdr:cNvPr>
        <xdr:cNvSpPr/>
      </xdr:nvSpPr>
      <xdr:spPr>
        <a:xfrm>
          <a:off x="15737679" y="0"/>
          <a:ext cx="25184101" cy="964405"/>
        </a:xfrm>
        <a:prstGeom prst="rect">
          <a:avLst/>
        </a:prstGeom>
        <a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elipe Lima Magalhaes" id="{D02CE20F-7D89-468A-99DA-907370096ED0}" userId="S::flima@silimed.com.br::555d369b-1d3f-4183-8f8f-ec747fc16fa8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102" dT="2026-03-09T15:59:39.48" personId="{D02CE20F-7D89-468A-99DA-907370096ED0}" id="{3177166E-D77D-4ABA-AEFE-083784F2689D}">
    <text>Solicitar 33 moldes para 01/04</text>
  </threadedComment>
  <threadedComment ref="X102" dT="2026-03-09T15:59:39.48" personId="{D02CE20F-7D89-468A-99DA-907370096ED0}" id="{9DAAE398-C29B-4533-BC47-9B479CBB0808}">
    <text>Solicitar 33 moldes para 01/04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A39B8C-287E-4F36-A51F-C9C42C8488EF}">
  <we:reference id="wa200009404" version="1.0.0.8" store="pt-BR" storeType="OMEX"/>
  <we:alternateReferences>
    <we:reference id="WA200009404" version="1.0.0.8" store="" storeType="OMEX"/>
  </we:alternateReferences>
  <we:properties>
    <we:property name="claude.fileId" value="&quot;275dafe5-6832-4ddb-b3f8-4929e6cfa81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6BF78-E651-4D61-82F3-B019A623A375}">
  <sheetPr codeName="Planilha13"/>
  <dimension ref="A1:BR353"/>
  <sheetViews>
    <sheetView showGridLines="0" tabSelected="1" topLeftCell="E1" zoomScale="85" zoomScaleNormal="85" zoomScaleSheetLayoutView="80" workbookViewId="0">
      <selection activeCell="Z14" sqref="Z14"/>
    </sheetView>
  </sheetViews>
  <sheetFormatPr defaultRowHeight="15" outlineLevelCol="1" x14ac:dyDescent="0.25"/>
  <cols>
    <col min="1" max="1" width="15.28515625" style="1" bestFit="1" customWidth="1"/>
    <col min="2" max="2" width="16.42578125" style="1" bestFit="1" customWidth="1"/>
    <col min="3" max="3" width="13.85546875" style="55" bestFit="1" customWidth="1"/>
    <col min="4" max="4" width="22.28515625" style="1" bestFit="1" customWidth="1"/>
    <col min="5" max="5" width="14.140625" style="1" customWidth="1"/>
    <col min="6" max="7" width="11.28515625" style="2" hidden="1" customWidth="1" outlineLevel="1"/>
    <col min="8" max="8" width="8.7109375" style="2" hidden="1" customWidth="1" outlineLevel="1"/>
    <col min="9" max="9" width="9" style="2" customWidth="1" collapsed="1"/>
    <col min="10" max="10" width="6" style="2" hidden="1" customWidth="1" outlineLevel="1"/>
    <col min="11" max="11" width="6.140625" style="2" hidden="1" customWidth="1" outlineLevel="1"/>
    <col min="12" max="12" width="6" style="2" hidden="1" customWidth="1" outlineLevel="1"/>
    <col min="13" max="14" width="5.42578125" style="2" hidden="1" customWidth="1" outlineLevel="1"/>
    <col min="15" max="15" width="5.85546875" style="2" hidden="1" customWidth="1" outlineLevel="1"/>
    <col min="16" max="16" width="11.140625" style="2" customWidth="1" collapsed="1"/>
    <col min="17" max="17" width="9.140625" style="2" hidden="1" customWidth="1" outlineLevel="1"/>
    <col min="18" max="18" width="10.85546875" style="2" hidden="1" customWidth="1" outlineLevel="1"/>
    <col min="19" max="19" width="8.28515625" style="2" hidden="1" customWidth="1" outlineLevel="1"/>
    <col min="20" max="20" width="13" style="61" customWidth="1" collapsed="1"/>
    <col min="21" max="21" width="13.85546875" style="2" customWidth="1"/>
    <col min="22" max="22" width="13.7109375" style="2" customWidth="1"/>
    <col min="23" max="23" width="13.28515625" style="2" customWidth="1"/>
    <col min="24" max="24" width="13.5703125" style="2" customWidth="1"/>
    <col min="25" max="25" width="16.140625" style="2" customWidth="1"/>
    <col min="26" max="26" width="12.140625" style="2" customWidth="1"/>
    <col min="27" max="27" width="8.7109375" style="2" hidden="1" customWidth="1" outlineLevel="1"/>
    <col min="28" max="31" width="8.5703125" style="2" hidden="1" customWidth="1" outlineLevel="1"/>
    <col min="32" max="32" width="10" style="2" customWidth="1" collapsed="1"/>
    <col min="33" max="33" width="16.28515625" style="8" hidden="1" customWidth="1"/>
    <col min="34" max="64" width="9.7109375" style="2" customWidth="1"/>
    <col min="65" max="65" width="14.140625" style="2" bestFit="1" customWidth="1"/>
    <col min="66" max="66" width="14.28515625" style="1" hidden="1" customWidth="1"/>
    <col min="67" max="67" width="12.140625" style="1" hidden="1" customWidth="1"/>
    <col min="68" max="68" width="13.7109375" style="1" hidden="1" customWidth="1"/>
    <col min="69" max="69" width="13" style="9" hidden="1" customWidth="1"/>
    <col min="70" max="70" width="19.42578125" style="55" customWidth="1"/>
    <col min="71" max="16384" width="9.140625" style="1"/>
  </cols>
  <sheetData>
    <row r="1" spans="1:70" ht="25.5" customHeight="1" x14ac:dyDescent="0.25">
      <c r="AH1" s="8"/>
    </row>
    <row r="2" spans="1:70" ht="25.5" customHeight="1" x14ac:dyDescent="0.25">
      <c r="AH2" s="8"/>
    </row>
    <row r="3" spans="1:70" ht="25.5" customHeight="1" thickBot="1" x14ac:dyDescent="0.3">
      <c r="AH3" s="8"/>
    </row>
    <row r="4" spans="1:70" ht="30" customHeight="1" x14ac:dyDescent="0.25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50" t="s">
        <v>20</v>
      </c>
      <c r="AH4" s="79" t="s">
        <v>35</v>
      </c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1"/>
      <c r="BM4" s="82" t="s">
        <v>31</v>
      </c>
      <c r="BN4" s="83"/>
      <c r="BO4" s="83"/>
      <c r="BP4" s="83"/>
      <c r="BQ4" s="83"/>
      <c r="BR4" s="83"/>
    </row>
    <row r="5" spans="1:70" ht="30" customHeight="1" x14ac:dyDescent="0.25">
      <c r="A5" s="36"/>
      <c r="B5" s="78" t="s">
        <v>49</v>
      </c>
      <c r="C5" s="78"/>
      <c r="D5" s="78"/>
      <c r="E5" s="78"/>
      <c r="F5" s="52"/>
      <c r="G5" s="52"/>
      <c r="H5" s="52"/>
      <c r="I5" s="52"/>
      <c r="J5" s="36"/>
      <c r="K5" s="36"/>
      <c r="L5" s="36"/>
      <c r="M5" s="36"/>
      <c r="N5" s="36"/>
      <c r="O5" s="36"/>
      <c r="P5" s="36"/>
      <c r="Q5" s="36"/>
      <c r="R5" s="36"/>
      <c r="S5" s="36"/>
      <c r="T5" s="78" t="s">
        <v>50</v>
      </c>
      <c r="U5" s="78"/>
      <c r="V5" s="78"/>
      <c r="W5" s="78"/>
      <c r="X5" s="36"/>
      <c r="Y5" s="51" t="s">
        <v>34</v>
      </c>
      <c r="Z5" s="52"/>
      <c r="AA5" s="36"/>
      <c r="AB5" s="36"/>
      <c r="AC5" s="36"/>
      <c r="AD5" s="36"/>
      <c r="AE5" s="36"/>
      <c r="AF5" s="36"/>
      <c r="AH5" s="13">
        <f t="shared" ref="AH5:BL5" si="0">SUMIF($D:$D,"linha C cat08",AH:AH)+SUMIF($D:$D,"linha C cat09",AH:AH)+SUMIF($D:$D,"linha C cat07",AH:AH)</f>
        <v>33</v>
      </c>
      <c r="AI5" s="13">
        <f t="shared" si="0"/>
        <v>0</v>
      </c>
      <c r="AJ5" s="13">
        <f t="shared" si="0"/>
        <v>42.9</v>
      </c>
      <c r="AK5" s="13">
        <f t="shared" si="0"/>
        <v>19.8</v>
      </c>
      <c r="AL5" s="13">
        <f t="shared" si="0"/>
        <v>0</v>
      </c>
      <c r="AM5" s="13">
        <f t="shared" si="0"/>
        <v>0</v>
      </c>
      <c r="AN5" s="13">
        <f t="shared" si="0"/>
        <v>13</v>
      </c>
      <c r="AO5" s="13">
        <f t="shared" si="0"/>
        <v>33</v>
      </c>
      <c r="AP5" s="13">
        <f t="shared" si="0"/>
        <v>0</v>
      </c>
      <c r="AQ5" s="13">
        <f t="shared" si="0"/>
        <v>36</v>
      </c>
      <c r="AR5" s="13">
        <f t="shared" si="0"/>
        <v>48.9</v>
      </c>
      <c r="AS5" s="13">
        <f t="shared" si="0"/>
        <v>38.599999999999994</v>
      </c>
      <c r="AT5" s="13">
        <f t="shared" si="0"/>
        <v>0</v>
      </c>
      <c r="AU5" s="13">
        <f t="shared" si="0"/>
        <v>33</v>
      </c>
      <c r="AV5" s="13">
        <f t="shared" si="0"/>
        <v>0</v>
      </c>
      <c r="AW5" s="13">
        <f t="shared" si="0"/>
        <v>22.5</v>
      </c>
      <c r="AX5" s="13">
        <f t="shared" si="0"/>
        <v>10.8</v>
      </c>
      <c r="AY5" s="13">
        <f t="shared" si="0"/>
        <v>0</v>
      </c>
      <c r="AZ5" s="13">
        <f t="shared" si="0"/>
        <v>46.5</v>
      </c>
      <c r="BA5" s="13">
        <f t="shared" si="0"/>
        <v>9.9</v>
      </c>
      <c r="BB5" s="13">
        <f t="shared" si="0"/>
        <v>14.4</v>
      </c>
      <c r="BC5" s="13">
        <f t="shared" si="0"/>
        <v>10.8</v>
      </c>
      <c r="BD5" s="13">
        <f t="shared" si="0"/>
        <v>45.2</v>
      </c>
      <c r="BE5" s="13">
        <f t="shared" si="0"/>
        <v>27.9</v>
      </c>
      <c r="BF5" s="13">
        <f t="shared" si="0"/>
        <v>81</v>
      </c>
      <c r="BG5" s="13">
        <f t="shared" si="0"/>
        <v>0</v>
      </c>
      <c r="BH5" s="13">
        <f t="shared" si="0"/>
        <v>34.799999999999997</v>
      </c>
      <c r="BI5" s="13">
        <f t="shared" si="0"/>
        <v>40.6</v>
      </c>
      <c r="BJ5" s="13">
        <f t="shared" si="0"/>
        <v>0</v>
      </c>
      <c r="BK5" s="13">
        <f t="shared" si="0"/>
        <v>0</v>
      </c>
      <c r="BL5" s="13">
        <f t="shared" si="0"/>
        <v>14.4</v>
      </c>
      <c r="BM5" s="76" t="s">
        <v>1011</v>
      </c>
      <c r="BN5" s="2">
        <v>30</v>
      </c>
      <c r="BP5" s="1">
        <v>30</v>
      </c>
      <c r="BQ5" s="9" t="s">
        <v>17</v>
      </c>
      <c r="BR5" s="77">
        <f t="shared" ref="BR5:BR14" si="1">SUM(AH5:BL5)</f>
        <v>656.99999999999989</v>
      </c>
    </row>
    <row r="6" spans="1:70" ht="30" customHeight="1" x14ac:dyDescent="0.25">
      <c r="A6" s="36"/>
      <c r="B6" s="65" t="s">
        <v>20</v>
      </c>
      <c r="C6" s="65" t="s">
        <v>29</v>
      </c>
      <c r="D6" s="65" t="s">
        <v>30</v>
      </c>
      <c r="E6" s="65" t="s">
        <v>10</v>
      </c>
      <c r="F6" s="51"/>
      <c r="G6" s="51"/>
      <c r="H6" s="51"/>
      <c r="I6" s="52"/>
      <c r="J6" s="36"/>
      <c r="K6" s="36"/>
      <c r="L6" s="36"/>
      <c r="M6" s="36"/>
      <c r="N6" s="36"/>
      <c r="O6" s="36"/>
      <c r="P6" s="36"/>
      <c r="Q6" s="36"/>
      <c r="R6" s="36"/>
      <c r="S6" s="36"/>
      <c r="T6" s="65" t="s">
        <v>20</v>
      </c>
      <c r="U6" s="65" t="s">
        <v>29</v>
      </c>
      <c r="V6" s="65" t="s">
        <v>30</v>
      </c>
      <c r="W6" s="65" t="s">
        <v>10</v>
      </c>
      <c r="X6" s="36"/>
      <c r="Y6" s="66" t="s">
        <v>29</v>
      </c>
      <c r="Z6" s="52"/>
      <c r="AA6" s="52"/>
      <c r="AB6" s="36"/>
      <c r="AC6" s="36"/>
      <c r="AD6" s="36"/>
      <c r="AE6" s="36"/>
      <c r="AF6" s="36"/>
      <c r="AH6" s="13">
        <f t="shared" ref="AH6:BL6" si="2">SUMIF($D:$D,"linha A cat01",AH:AH)</f>
        <v>719.09999999999991</v>
      </c>
      <c r="AI6" s="13">
        <f t="shared" si="2"/>
        <v>494.7</v>
      </c>
      <c r="AJ6" s="13">
        <f t="shared" si="2"/>
        <v>547.79999999999995</v>
      </c>
      <c r="AK6" s="13">
        <f t="shared" si="2"/>
        <v>533.4</v>
      </c>
      <c r="AL6" s="13">
        <f t="shared" si="2"/>
        <v>524.99999999999989</v>
      </c>
      <c r="AM6" s="13">
        <f t="shared" si="2"/>
        <v>622.79999999999995</v>
      </c>
      <c r="AN6" s="13">
        <f t="shared" si="2"/>
        <v>705</v>
      </c>
      <c r="AO6" s="13">
        <f t="shared" si="2"/>
        <v>578.99999999999989</v>
      </c>
      <c r="AP6" s="13">
        <f t="shared" si="2"/>
        <v>746.4</v>
      </c>
      <c r="AQ6" s="13">
        <f t="shared" si="2"/>
        <v>551.99999999999989</v>
      </c>
      <c r="AR6" s="13">
        <f t="shared" si="2"/>
        <v>703.49999999999989</v>
      </c>
      <c r="AS6" s="13">
        <f t="shared" si="2"/>
        <v>432.40000000000003</v>
      </c>
      <c r="AT6" s="13">
        <f t="shared" si="2"/>
        <v>584.99999999999989</v>
      </c>
      <c r="AU6" s="13">
        <f t="shared" si="2"/>
        <v>604.79999999999984</v>
      </c>
      <c r="AV6" s="13">
        <f t="shared" si="2"/>
        <v>557.99999999999989</v>
      </c>
      <c r="AW6" s="13">
        <f t="shared" si="2"/>
        <v>675.69999999999993</v>
      </c>
      <c r="AX6" s="13">
        <f t="shared" si="2"/>
        <v>693.1</v>
      </c>
      <c r="AY6" s="13">
        <f t="shared" si="2"/>
        <v>551.19999999999993</v>
      </c>
      <c r="AZ6" s="13">
        <f t="shared" si="2"/>
        <v>488.4</v>
      </c>
      <c r="BA6" s="13">
        <f t="shared" si="2"/>
        <v>818.99999999999989</v>
      </c>
      <c r="BB6" s="13">
        <f t="shared" si="2"/>
        <v>579.59999999999991</v>
      </c>
      <c r="BC6" s="13">
        <f t="shared" si="2"/>
        <v>456.9</v>
      </c>
      <c r="BD6" s="13">
        <f t="shared" si="2"/>
        <v>545.99999999999989</v>
      </c>
      <c r="BE6" s="13">
        <f t="shared" si="2"/>
        <v>569.59999999999991</v>
      </c>
      <c r="BF6" s="13">
        <f t="shared" si="2"/>
        <v>765.3</v>
      </c>
      <c r="BG6" s="13">
        <f t="shared" si="2"/>
        <v>634.79999999999995</v>
      </c>
      <c r="BH6" s="13">
        <f t="shared" si="2"/>
        <v>528.29999999999995</v>
      </c>
      <c r="BI6" s="13">
        <f t="shared" si="2"/>
        <v>546.59999999999991</v>
      </c>
      <c r="BJ6" s="13">
        <f t="shared" si="2"/>
        <v>770.4</v>
      </c>
      <c r="BK6" s="13">
        <f t="shared" si="2"/>
        <v>471</v>
      </c>
      <c r="BL6" s="13">
        <f t="shared" si="2"/>
        <v>723</v>
      </c>
      <c r="BM6" s="76" t="s">
        <v>736</v>
      </c>
      <c r="BN6" s="2">
        <v>708</v>
      </c>
      <c r="BR6" s="77">
        <f t="shared" si="1"/>
        <v>18727.8</v>
      </c>
    </row>
    <row r="7" spans="1:70" ht="30" customHeight="1" x14ac:dyDescent="0.25">
      <c r="A7" s="36"/>
      <c r="B7" s="58" t="s">
        <v>736</v>
      </c>
      <c r="C7" s="67">
        <f>SUMIFS($U$17:$U$503,$D$17:$D$503,"linha A "&amp;$B7,$I$17:$I$503,"Manual")</f>
        <v>16990.2</v>
      </c>
      <c r="D7" s="67">
        <f>SUMIFS($Z$17:$Z$503,$D$17:$D$503,"linha A "&amp;$B7,$I$17:$I$503,"Manual")</f>
        <v>16859.899999999998</v>
      </c>
      <c r="E7" s="68">
        <f t="shared" ref="E7:E13" si="3">D7-C7</f>
        <v>-130.30000000000291</v>
      </c>
      <c r="F7" s="37"/>
      <c r="G7" s="37"/>
      <c r="H7" s="37"/>
      <c r="I7" s="52"/>
      <c r="J7" s="37"/>
      <c r="K7" s="37"/>
      <c r="L7" s="37"/>
      <c r="M7" s="37"/>
      <c r="N7" s="37"/>
      <c r="O7" s="37"/>
      <c r="P7" s="37"/>
      <c r="Q7" s="37"/>
      <c r="R7" s="37"/>
      <c r="S7" s="37"/>
      <c r="T7" s="58" t="s">
        <v>742</v>
      </c>
      <c r="U7" s="67">
        <f>SUMIFS($U$17:$U$503,$D$17:$D$503,"linha B cat05",$I$17:$I$503,"Manual")</f>
        <v>233.1</v>
      </c>
      <c r="V7" s="67">
        <f>SUMIFS($Z$17:$Z$503,$D$17:$D$503,"linha B cat05",$I$17:$I$503,"Manual")</f>
        <v>225.6</v>
      </c>
      <c r="W7" s="68">
        <f t="shared" ref="W7:W12" si="4">V7-U7</f>
        <v>-7.5</v>
      </c>
      <c r="X7" s="36"/>
      <c r="Y7" s="69">
        <f>SUM(U17:U353)</f>
        <v>36567.000000000036</v>
      </c>
      <c r="Z7" s="52"/>
      <c r="AA7" s="37"/>
      <c r="AB7" s="37"/>
      <c r="AC7" s="37"/>
      <c r="AD7" s="36"/>
      <c r="AE7" s="36"/>
      <c r="AF7" s="37"/>
      <c r="AH7" s="13">
        <f t="shared" ref="AH7:BL7" si="5">SUMIF($D:$D,"linha A cat02",AH:AH)</f>
        <v>329.4</v>
      </c>
      <c r="AI7" s="13">
        <f t="shared" si="5"/>
        <v>390.9</v>
      </c>
      <c r="AJ7" s="13">
        <f t="shared" si="5"/>
        <v>327.29999999999995</v>
      </c>
      <c r="AK7" s="13">
        <f t="shared" si="5"/>
        <v>361.79999999999995</v>
      </c>
      <c r="AL7" s="13">
        <f t="shared" si="5"/>
        <v>333.9</v>
      </c>
      <c r="AM7" s="13">
        <f t="shared" si="5"/>
        <v>400.5</v>
      </c>
      <c r="AN7" s="13">
        <f t="shared" si="5"/>
        <v>317.09999999999997</v>
      </c>
      <c r="AO7" s="13">
        <f t="shared" si="5"/>
        <v>303</v>
      </c>
      <c r="AP7" s="13">
        <f t="shared" si="5"/>
        <v>222.9</v>
      </c>
      <c r="AQ7" s="13">
        <f t="shared" si="5"/>
        <v>447</v>
      </c>
      <c r="AR7" s="13">
        <f t="shared" si="5"/>
        <v>222</v>
      </c>
      <c r="AS7" s="13">
        <f t="shared" si="5"/>
        <v>411.29999999999995</v>
      </c>
      <c r="AT7" s="13">
        <f t="shared" si="5"/>
        <v>330.59999999999997</v>
      </c>
      <c r="AU7" s="13">
        <f t="shared" si="5"/>
        <v>315</v>
      </c>
      <c r="AV7" s="13">
        <f t="shared" si="5"/>
        <v>335.4</v>
      </c>
      <c r="AW7" s="13">
        <f t="shared" si="5"/>
        <v>252.9</v>
      </c>
      <c r="AX7" s="13">
        <f t="shared" si="5"/>
        <v>287.7</v>
      </c>
      <c r="AY7" s="13">
        <f t="shared" si="5"/>
        <v>365.7</v>
      </c>
      <c r="AZ7" s="13">
        <f t="shared" si="5"/>
        <v>402.6</v>
      </c>
      <c r="BA7" s="13">
        <f t="shared" si="5"/>
        <v>221.7</v>
      </c>
      <c r="BB7" s="13">
        <f t="shared" si="5"/>
        <v>376.5</v>
      </c>
      <c r="BC7" s="13">
        <f t="shared" si="5"/>
        <v>394.5</v>
      </c>
      <c r="BD7" s="13">
        <f t="shared" si="5"/>
        <v>385.5</v>
      </c>
      <c r="BE7" s="13">
        <f t="shared" si="5"/>
        <v>318.89999999999998</v>
      </c>
      <c r="BF7" s="13">
        <f t="shared" si="5"/>
        <v>272.7</v>
      </c>
      <c r="BG7" s="13">
        <f t="shared" si="5"/>
        <v>358.19999999999993</v>
      </c>
      <c r="BH7" s="13">
        <f t="shared" si="5"/>
        <v>396.3</v>
      </c>
      <c r="BI7" s="13">
        <f t="shared" si="5"/>
        <v>412.2</v>
      </c>
      <c r="BJ7" s="13">
        <f t="shared" si="5"/>
        <v>225.6</v>
      </c>
      <c r="BK7" s="13">
        <f t="shared" si="5"/>
        <v>396.6</v>
      </c>
      <c r="BL7" s="13">
        <f t="shared" si="5"/>
        <v>265.8</v>
      </c>
      <c r="BM7" s="76" t="s">
        <v>738</v>
      </c>
      <c r="BN7" s="2">
        <v>591</v>
      </c>
      <c r="BR7" s="77">
        <f t="shared" si="1"/>
        <v>10381.5</v>
      </c>
    </row>
    <row r="8" spans="1:70" ht="30" customHeight="1" x14ac:dyDescent="0.25">
      <c r="A8" s="36"/>
      <c r="B8" s="58" t="s">
        <v>737</v>
      </c>
      <c r="C8" s="67">
        <f>SUMIFS($U$17:$U$503,$D$17:$D$503,"linha A cat01",$I$17:$I$503,"Máquina")</f>
        <v>1873.8000000000004</v>
      </c>
      <c r="D8" s="67">
        <f>SUMIFS($Z$17:$Z$503,$D$17:$D$503,"linha A cat01",$I$17:$I$503,"Máquina")</f>
        <v>1867.9000000000003</v>
      </c>
      <c r="E8" s="68">
        <f t="shared" si="3"/>
        <v>-5.9000000000000909</v>
      </c>
      <c r="F8" s="37"/>
      <c r="G8" s="37"/>
      <c r="H8" s="37"/>
      <c r="I8" s="52"/>
      <c r="J8" s="37"/>
      <c r="K8" s="37"/>
      <c r="L8" s="37"/>
      <c r="M8" s="37"/>
      <c r="N8" s="37"/>
      <c r="O8" s="37"/>
      <c r="P8" s="37"/>
      <c r="Q8" s="37"/>
      <c r="R8" s="37"/>
      <c r="S8" s="37"/>
      <c r="T8" s="58" t="s">
        <v>743</v>
      </c>
      <c r="U8" s="67">
        <f>SUMIFS($U$17:$U$503,$D$17:$D$503,"linha B cat06",$I$17:$I$503,"Manual")</f>
        <v>0</v>
      </c>
      <c r="V8" s="67">
        <f>SUMIFS($Z$17:$Z$503,$D$17:$D$503,"linha B cat06",$I$17:$I$503,"Manual")</f>
        <v>0</v>
      </c>
      <c r="W8" s="68">
        <f t="shared" si="4"/>
        <v>0</v>
      </c>
      <c r="X8" s="36"/>
      <c r="Y8" s="37"/>
      <c r="Z8" s="52"/>
      <c r="AA8" s="37"/>
      <c r="AB8" s="37"/>
      <c r="AC8" s="37"/>
      <c r="AD8" s="36"/>
      <c r="AE8" s="36"/>
      <c r="AF8" s="37"/>
      <c r="AH8" s="13">
        <f t="shared" ref="AH8:BL8" si="6">SUMIF($D:$D,"linha A cat03",AH:AH)</f>
        <v>0</v>
      </c>
      <c r="AI8" s="13">
        <f t="shared" si="6"/>
        <v>223.5</v>
      </c>
      <c r="AJ8" s="13">
        <f t="shared" si="6"/>
        <v>135</v>
      </c>
      <c r="AK8" s="13">
        <f t="shared" si="6"/>
        <v>90</v>
      </c>
      <c r="AL8" s="13">
        <f t="shared" si="6"/>
        <v>209.7</v>
      </c>
      <c r="AM8" s="13">
        <f t="shared" si="6"/>
        <v>131</v>
      </c>
      <c r="AN8" s="13">
        <f t="shared" si="6"/>
        <v>78</v>
      </c>
      <c r="AO8" s="13">
        <f t="shared" si="6"/>
        <v>195.9</v>
      </c>
      <c r="AP8" s="13">
        <f t="shared" si="6"/>
        <v>55.8</v>
      </c>
      <c r="AQ8" s="13">
        <f t="shared" si="6"/>
        <v>90</v>
      </c>
      <c r="AR8" s="13">
        <f t="shared" si="6"/>
        <v>111.6</v>
      </c>
      <c r="AS8" s="13">
        <f t="shared" si="6"/>
        <v>216</v>
      </c>
      <c r="AT8" s="13">
        <f t="shared" si="6"/>
        <v>164.4</v>
      </c>
      <c r="AU8" s="13">
        <f t="shared" si="6"/>
        <v>171</v>
      </c>
      <c r="AV8" s="13">
        <f t="shared" si="6"/>
        <v>203.4</v>
      </c>
      <c r="AW8" s="13">
        <f t="shared" si="6"/>
        <v>63.9</v>
      </c>
      <c r="AX8" s="13">
        <f t="shared" si="6"/>
        <v>123</v>
      </c>
      <c r="AY8" s="13">
        <f t="shared" si="6"/>
        <v>105.3</v>
      </c>
      <c r="AZ8" s="13">
        <f t="shared" si="6"/>
        <v>180</v>
      </c>
      <c r="BA8" s="13">
        <f t="shared" si="6"/>
        <v>0</v>
      </c>
      <c r="BB8" s="13">
        <f t="shared" si="6"/>
        <v>128.19999999999999</v>
      </c>
      <c r="BC8" s="13">
        <f t="shared" si="6"/>
        <v>158.1</v>
      </c>
      <c r="BD8" s="13">
        <f t="shared" si="6"/>
        <v>62.1</v>
      </c>
      <c r="BE8" s="13">
        <f t="shared" si="6"/>
        <v>90</v>
      </c>
      <c r="BF8" s="13">
        <f t="shared" si="6"/>
        <v>10.8</v>
      </c>
      <c r="BG8" s="13">
        <f t="shared" si="6"/>
        <v>111.6</v>
      </c>
      <c r="BH8" s="13">
        <f t="shared" si="6"/>
        <v>105.3</v>
      </c>
      <c r="BI8" s="13">
        <f t="shared" si="6"/>
        <v>45</v>
      </c>
      <c r="BJ8" s="13">
        <f t="shared" si="6"/>
        <v>45</v>
      </c>
      <c r="BK8" s="13">
        <f t="shared" si="6"/>
        <v>168</v>
      </c>
      <c r="BL8" s="13">
        <f t="shared" si="6"/>
        <v>135</v>
      </c>
      <c r="BM8" s="76" t="s">
        <v>740</v>
      </c>
      <c r="BN8" s="2">
        <v>135</v>
      </c>
      <c r="BR8" s="77">
        <f t="shared" si="1"/>
        <v>3606.6000000000004</v>
      </c>
    </row>
    <row r="9" spans="1:70" ht="30" customHeight="1" x14ac:dyDescent="0.25">
      <c r="A9" s="36"/>
      <c r="B9" s="58" t="s">
        <v>738</v>
      </c>
      <c r="C9" s="67">
        <f>SUMIFS($U$17:$U$503,$D$17:$D$503,"linha A "&amp;$B9,$I$17:$I$503,"Manual")</f>
        <v>9112.5000000000018</v>
      </c>
      <c r="D9" s="67">
        <f>SUMIFS($Z$17:$Z$503,$D$17:$D$503,"linha A "&amp;$B9,$I$17:$I$503,"Manual")</f>
        <v>9087.0000000000018</v>
      </c>
      <c r="E9" s="68">
        <f t="shared" si="3"/>
        <v>-25.5</v>
      </c>
      <c r="F9" s="37"/>
      <c r="G9" s="37"/>
      <c r="H9" s="37"/>
      <c r="I9" s="52"/>
      <c r="J9" s="38"/>
      <c r="K9" s="39"/>
      <c r="L9" s="39"/>
      <c r="M9" s="39"/>
      <c r="N9" s="39"/>
      <c r="O9" s="37"/>
      <c r="P9" s="37"/>
      <c r="Q9" s="37"/>
      <c r="R9" s="37"/>
      <c r="S9" s="37"/>
      <c r="T9" s="58" t="s">
        <v>744</v>
      </c>
      <c r="U9" s="67">
        <f>SUMIFS($U$17:$U$503,$D$17:$D$503,"linha C cat07",$I$17:$I$503,"Manual")</f>
        <v>108</v>
      </c>
      <c r="V9" s="67">
        <f>SUMIFS($Z$17:$Z$503,$D$17:$D$503,"linha C cat07",$I$17:$I$503,"Manual")</f>
        <v>99</v>
      </c>
      <c r="W9" s="68">
        <f t="shared" si="4"/>
        <v>-9</v>
      </c>
      <c r="X9" s="37"/>
      <c r="Y9" s="53" t="s">
        <v>30</v>
      </c>
      <c r="Z9" s="52"/>
      <c r="AA9" s="37"/>
      <c r="AB9" s="37"/>
      <c r="AC9" s="37"/>
      <c r="AD9" s="37"/>
      <c r="AE9" s="37"/>
      <c r="AF9" s="37"/>
      <c r="AH9" s="13">
        <f t="shared" ref="AH9:BL9" si="7">SUMIF($H:$H,"Sim",AH:AH)</f>
        <v>760.5</v>
      </c>
      <c r="AI9" s="13">
        <f t="shared" si="7"/>
        <v>650.4</v>
      </c>
      <c r="AJ9" s="13">
        <f t="shared" si="7"/>
        <v>675</v>
      </c>
      <c r="AK9" s="13">
        <f t="shared" si="7"/>
        <v>734.4</v>
      </c>
      <c r="AL9" s="13">
        <f t="shared" si="7"/>
        <v>590.4</v>
      </c>
      <c r="AM9" s="13">
        <f t="shared" si="7"/>
        <v>790.2</v>
      </c>
      <c r="AN9" s="13">
        <f t="shared" si="7"/>
        <v>765</v>
      </c>
      <c r="AO9" s="13">
        <f t="shared" si="7"/>
        <v>705</v>
      </c>
      <c r="AP9" s="13">
        <f t="shared" si="7"/>
        <v>801</v>
      </c>
      <c r="AQ9" s="13">
        <f t="shared" si="7"/>
        <v>717.3</v>
      </c>
      <c r="AR9" s="13">
        <f t="shared" si="7"/>
        <v>706.5</v>
      </c>
      <c r="AS9" s="13">
        <f t="shared" si="7"/>
        <v>642.70000000000005</v>
      </c>
      <c r="AT9" s="13">
        <f t="shared" si="7"/>
        <v>675</v>
      </c>
      <c r="AU9" s="13">
        <f t="shared" si="7"/>
        <v>789.3</v>
      </c>
      <c r="AV9" s="13">
        <f t="shared" si="7"/>
        <v>617.4</v>
      </c>
      <c r="AW9" s="13">
        <f t="shared" si="7"/>
        <v>685</v>
      </c>
      <c r="AX9" s="13">
        <f t="shared" si="7"/>
        <v>791.1</v>
      </c>
      <c r="AY9" s="13">
        <f t="shared" si="7"/>
        <v>718.6</v>
      </c>
      <c r="AZ9" s="13">
        <f t="shared" si="7"/>
        <v>630</v>
      </c>
      <c r="BA9" s="13">
        <f t="shared" si="7"/>
        <v>872.1</v>
      </c>
      <c r="BB9" s="13">
        <f t="shared" si="7"/>
        <v>675</v>
      </c>
      <c r="BC9" s="13">
        <f t="shared" si="7"/>
        <v>644.4</v>
      </c>
      <c r="BD9" s="13">
        <f t="shared" si="7"/>
        <v>769.5</v>
      </c>
      <c r="BE9" s="13">
        <f t="shared" si="7"/>
        <v>739.4</v>
      </c>
      <c r="BF9" s="13">
        <f t="shared" si="7"/>
        <v>831.6</v>
      </c>
      <c r="BG9" s="13">
        <f t="shared" si="7"/>
        <v>783</v>
      </c>
      <c r="BH9" s="13">
        <f t="shared" si="7"/>
        <v>756.9</v>
      </c>
      <c r="BI9" s="13">
        <f t="shared" si="7"/>
        <v>729</v>
      </c>
      <c r="BJ9" s="13">
        <f t="shared" si="7"/>
        <v>810</v>
      </c>
      <c r="BK9" s="13">
        <f t="shared" si="7"/>
        <v>690.3</v>
      </c>
      <c r="BL9" s="13">
        <f t="shared" si="7"/>
        <v>803.7</v>
      </c>
      <c r="BM9" s="76" t="s">
        <v>1010</v>
      </c>
      <c r="BN9" s="2">
        <v>720</v>
      </c>
      <c r="BR9" s="77">
        <f t="shared" si="1"/>
        <v>22549.700000000004</v>
      </c>
    </row>
    <row r="10" spans="1:70" ht="30" customHeight="1" x14ac:dyDescent="0.25">
      <c r="A10" s="36"/>
      <c r="B10" s="58" t="s">
        <v>739</v>
      </c>
      <c r="C10" s="67">
        <f>SUMIFS($U$17:$U$503,$D$17:$D$503,"linha A cat02",$I$17:$I$503,"Máquina")</f>
        <v>1327.5000000000011</v>
      </c>
      <c r="D10" s="67">
        <f>SUMIFS($Z$17:$Z$503,$D$17:$D$503,"linha A cat02",$I$17:$I$503,"Máquina")</f>
        <v>1294.5000000000011</v>
      </c>
      <c r="E10" s="68">
        <f t="shared" si="3"/>
        <v>-33</v>
      </c>
      <c r="F10" s="37"/>
      <c r="G10" s="37"/>
      <c r="H10" s="37"/>
      <c r="I10" s="52"/>
      <c r="J10" s="38"/>
      <c r="K10" s="40"/>
      <c r="L10" s="40"/>
      <c r="M10" s="40"/>
      <c r="N10" s="40"/>
      <c r="O10" s="37"/>
      <c r="P10" s="37"/>
      <c r="Q10" s="37"/>
      <c r="R10" s="37"/>
      <c r="S10" s="37"/>
      <c r="T10" s="58" t="s">
        <v>745</v>
      </c>
      <c r="U10" s="67">
        <f>SUMIFS($U$17:$U$503,$D$17:$D$503,"linha C cat08",$I$17:$I$503,"Manual")</f>
        <v>367.2</v>
      </c>
      <c r="V10" s="67">
        <f>SUMIFS($Z$17:$Z$503,$D$17:$D$503,"linha C cat08",$I$17:$I$503,"Manual")</f>
        <v>367.2</v>
      </c>
      <c r="W10" s="68">
        <f t="shared" si="4"/>
        <v>0</v>
      </c>
      <c r="X10" s="37"/>
      <c r="Y10" s="69">
        <f>SUM(Z17:Z353)</f>
        <v>36321.000000000029</v>
      </c>
      <c r="Z10" s="52"/>
      <c r="AA10" s="37"/>
      <c r="AB10" s="37"/>
      <c r="AC10" s="37"/>
      <c r="AD10" s="37"/>
      <c r="AE10" s="37"/>
      <c r="AF10" s="37"/>
      <c r="AH10" s="13">
        <f t="shared" ref="AH10:BL10" si="8">SUMIF($D:$D,"linha A cat04",AH:AH)</f>
        <v>90</v>
      </c>
      <c r="AI10" s="13">
        <f t="shared" si="8"/>
        <v>47.4</v>
      </c>
      <c r="AJ10" s="13">
        <f t="shared" si="8"/>
        <v>100.6</v>
      </c>
      <c r="AK10" s="13">
        <f t="shared" si="8"/>
        <v>167.4</v>
      </c>
      <c r="AL10" s="13">
        <f t="shared" si="8"/>
        <v>102.19999999999999</v>
      </c>
      <c r="AM10" s="13">
        <f t="shared" si="8"/>
        <v>0</v>
      </c>
      <c r="AN10" s="13">
        <f t="shared" si="8"/>
        <v>57.6</v>
      </c>
      <c r="AO10" s="13">
        <f t="shared" si="8"/>
        <v>33</v>
      </c>
      <c r="AP10" s="13">
        <f t="shared" si="8"/>
        <v>117</v>
      </c>
      <c r="AQ10" s="13">
        <f t="shared" si="8"/>
        <v>45</v>
      </c>
      <c r="AR10" s="13">
        <f t="shared" si="8"/>
        <v>90</v>
      </c>
      <c r="AS10" s="13">
        <f t="shared" si="8"/>
        <v>73</v>
      </c>
      <c r="AT10" s="13">
        <f t="shared" si="8"/>
        <v>92.4</v>
      </c>
      <c r="AU10" s="13">
        <f t="shared" si="8"/>
        <v>0</v>
      </c>
      <c r="AV10" s="13">
        <f t="shared" si="8"/>
        <v>79</v>
      </c>
      <c r="AW10" s="13">
        <f t="shared" si="8"/>
        <v>122.5</v>
      </c>
      <c r="AX10" s="13">
        <f t="shared" si="8"/>
        <v>57</v>
      </c>
      <c r="AY10" s="13">
        <f t="shared" si="8"/>
        <v>90</v>
      </c>
      <c r="AZ10" s="13">
        <f t="shared" si="8"/>
        <v>42.3</v>
      </c>
      <c r="BA10" s="13">
        <f t="shared" si="8"/>
        <v>120</v>
      </c>
      <c r="BB10" s="13">
        <f t="shared" si="8"/>
        <v>45</v>
      </c>
      <c r="BC10" s="13">
        <f t="shared" si="8"/>
        <v>150.6</v>
      </c>
      <c r="BD10" s="13">
        <f t="shared" si="8"/>
        <v>99.6</v>
      </c>
      <c r="BE10" s="13">
        <f t="shared" si="8"/>
        <v>169.1</v>
      </c>
      <c r="BF10" s="13">
        <f t="shared" si="8"/>
        <v>0</v>
      </c>
      <c r="BG10" s="13">
        <f t="shared" si="8"/>
        <v>67.5</v>
      </c>
      <c r="BH10" s="13">
        <f t="shared" si="8"/>
        <v>106.2</v>
      </c>
      <c r="BI10" s="13">
        <f t="shared" si="8"/>
        <v>123</v>
      </c>
      <c r="BJ10" s="13">
        <f t="shared" si="8"/>
        <v>119.2</v>
      </c>
      <c r="BK10" s="13">
        <f t="shared" si="8"/>
        <v>135</v>
      </c>
      <c r="BL10" s="13">
        <f t="shared" si="8"/>
        <v>0</v>
      </c>
      <c r="BM10" s="76" t="s">
        <v>741</v>
      </c>
      <c r="BN10" s="2">
        <v>120</v>
      </c>
      <c r="BR10" s="77">
        <f t="shared" si="1"/>
        <v>2541.5999999999995</v>
      </c>
    </row>
    <row r="11" spans="1:70" ht="30" customHeight="1" x14ac:dyDescent="0.25">
      <c r="A11" s="36"/>
      <c r="B11" s="58" t="s">
        <v>740</v>
      </c>
      <c r="C11" s="67">
        <f>SUMIFS($U$17:$U$503,$D$17:$D$503,"linha A "&amp;$B11,$I$17:$I$503,"Manual")</f>
        <v>3617.1000000000004</v>
      </c>
      <c r="D11" s="67">
        <f>SUMIFS($Z$17:$Z$503,$D$17:$D$503,"linha A "&amp;$B11,$I$17:$I$503,"Manual")</f>
        <v>3606.6</v>
      </c>
      <c r="E11" s="68">
        <f t="shared" si="3"/>
        <v>-10.500000000000455</v>
      </c>
      <c r="F11" s="37"/>
      <c r="G11" s="37"/>
      <c r="H11" s="37"/>
      <c r="I11" s="52"/>
      <c r="J11" s="41"/>
      <c r="K11" s="42"/>
      <c r="L11" s="42"/>
      <c r="M11" s="42"/>
      <c r="N11" s="42"/>
      <c r="O11" s="37"/>
      <c r="P11" s="37"/>
      <c r="Q11" s="37"/>
      <c r="R11" s="37"/>
      <c r="S11" s="37"/>
      <c r="T11" s="58" t="s">
        <v>746</v>
      </c>
      <c r="U11" s="67">
        <f>SUMIFS($U$17:$U$503,$D$17:$D$503,"linha C cat09",$I$17:$I$503,"Manual")</f>
        <v>24.3</v>
      </c>
      <c r="V11" s="67">
        <f>SUMIFS($Z$17:$Z$503,$D$17:$D$503,"linha C cat09",$I$17:$I$503,"Manual")</f>
        <v>24.3</v>
      </c>
      <c r="W11" s="68">
        <f t="shared" si="4"/>
        <v>0</v>
      </c>
      <c r="X11" s="37"/>
      <c r="Y11" s="37"/>
      <c r="Z11" s="52"/>
      <c r="AA11" s="37"/>
      <c r="AB11" s="37"/>
      <c r="AC11" s="37"/>
      <c r="AD11" s="37"/>
      <c r="AE11" s="37"/>
      <c r="AF11" s="37"/>
      <c r="AH11" s="13">
        <f t="shared" ref="AH11:BL11" si="9">SUMIF($D:$D,"linha B cat05",AH:AH)+SUMIF($D:$D,"linha B cat06",AH:AH)+SUMIF($D:$D,"linha C cat08",AH:AH)+SUMIF($D:$D,"linha C cat09",AH:AH)+SUMIFS(AH:AH,$A:$A,"Corpo de Prova",$C:$C,"70002")+SUMIF($A:$A,"Teste P&amp;D",AH:AH)</f>
        <v>0</v>
      </c>
      <c r="AI11" s="13">
        <f t="shared" si="9"/>
        <v>14.4</v>
      </c>
      <c r="AJ11" s="13">
        <f t="shared" si="9"/>
        <v>60.9</v>
      </c>
      <c r="AK11" s="13">
        <f t="shared" si="9"/>
        <v>19.8</v>
      </c>
      <c r="AL11" s="13">
        <f t="shared" si="9"/>
        <v>0</v>
      </c>
      <c r="AM11" s="13">
        <f t="shared" si="9"/>
        <v>21.6</v>
      </c>
      <c r="AN11" s="13">
        <f t="shared" si="9"/>
        <v>13</v>
      </c>
      <c r="AO11" s="13">
        <f t="shared" si="9"/>
        <v>56.4</v>
      </c>
      <c r="AP11" s="13">
        <f t="shared" si="9"/>
        <v>30.6</v>
      </c>
      <c r="AQ11" s="13">
        <f t="shared" si="9"/>
        <v>36</v>
      </c>
      <c r="AR11" s="13">
        <f t="shared" si="9"/>
        <v>48.9</v>
      </c>
      <c r="AS11" s="13">
        <f t="shared" si="9"/>
        <v>38.599999999999994</v>
      </c>
      <c r="AT11" s="13">
        <f t="shared" si="9"/>
        <v>0</v>
      </c>
      <c r="AU11" s="13">
        <f t="shared" si="9"/>
        <v>46.5</v>
      </c>
      <c r="AV11" s="13">
        <f t="shared" si="9"/>
        <v>0</v>
      </c>
      <c r="AW11" s="13">
        <f t="shared" si="9"/>
        <v>55.5</v>
      </c>
      <c r="AX11" s="13">
        <f t="shared" si="9"/>
        <v>10.8</v>
      </c>
      <c r="AY11" s="13">
        <f t="shared" si="9"/>
        <v>57.6</v>
      </c>
      <c r="AZ11" s="13">
        <f t="shared" si="9"/>
        <v>25.2</v>
      </c>
      <c r="BA11" s="13">
        <f t="shared" si="9"/>
        <v>9.9</v>
      </c>
      <c r="BB11" s="13">
        <f t="shared" si="9"/>
        <v>42.3</v>
      </c>
      <c r="BC11" s="13">
        <f t="shared" si="9"/>
        <v>10.8</v>
      </c>
      <c r="BD11" s="13">
        <f t="shared" si="9"/>
        <v>78.2</v>
      </c>
      <c r="BE11" s="13">
        <f t="shared" si="9"/>
        <v>27.9</v>
      </c>
      <c r="BF11" s="13">
        <f t="shared" si="9"/>
        <v>126</v>
      </c>
      <c r="BG11" s="13">
        <f t="shared" si="9"/>
        <v>0</v>
      </c>
      <c r="BH11" s="13">
        <f t="shared" si="9"/>
        <v>34.799999999999997</v>
      </c>
      <c r="BI11" s="13">
        <f t="shared" si="9"/>
        <v>40.6</v>
      </c>
      <c r="BJ11" s="13">
        <f t="shared" si="9"/>
        <v>10.8</v>
      </c>
      <c r="BK11" s="13">
        <f t="shared" si="9"/>
        <v>0</v>
      </c>
      <c r="BL11" s="13">
        <f t="shared" si="9"/>
        <v>47.4</v>
      </c>
      <c r="BM11" s="76" t="s">
        <v>1012</v>
      </c>
      <c r="BN11" s="2">
        <v>27</v>
      </c>
      <c r="BP11" s="1">
        <v>27</v>
      </c>
      <c r="BQ11" s="9" t="s">
        <v>18</v>
      </c>
      <c r="BR11" s="77">
        <f t="shared" si="1"/>
        <v>964.49999999999977</v>
      </c>
    </row>
    <row r="12" spans="1:70" ht="30" customHeight="1" x14ac:dyDescent="0.25">
      <c r="A12" s="36"/>
      <c r="B12" s="58" t="s">
        <v>741</v>
      </c>
      <c r="C12" s="67">
        <f>SUMIFS($U$17:$U$503,$D$17:$D$503,"linha A "&amp;$B12,$I$17:$I$503,"Manual")</f>
        <v>2562.3000000000002</v>
      </c>
      <c r="D12" s="67">
        <f>SUMIFS($Z$17:$Z$503,$D$17:$D$503,"linha A "&amp;$B12,$I$17:$I$503,"Manual")</f>
        <v>2541.5999999999995</v>
      </c>
      <c r="E12" s="68">
        <f t="shared" si="3"/>
        <v>-20.700000000000728</v>
      </c>
      <c r="F12" s="37"/>
      <c r="G12" s="37"/>
      <c r="H12" s="37"/>
      <c r="I12" s="52"/>
      <c r="J12" s="41"/>
      <c r="K12" s="42"/>
      <c r="L12" s="42"/>
      <c r="M12" s="42"/>
      <c r="N12" s="42"/>
      <c r="O12" s="37"/>
      <c r="P12" s="37"/>
      <c r="Q12" s="37"/>
      <c r="R12" s="37"/>
      <c r="S12" s="37"/>
      <c r="T12" s="58" t="s">
        <v>33</v>
      </c>
      <c r="U12" s="67">
        <f>SUMIF($C$17:$C$500,70004,$U$17:$U$500)+SUMIF($C$17:$C$500,"M70026",$U$17:$U$500)+SUMIF($C$17:$C$500,"M70028",$U$17:$U$500)+SUMIF($C$17:$C$500,"724",$U$17:$U$500)+SUMIF($C$17:$C$500,"70001",$U$17:$U$500)+SUMIF($C$17:$C$500,"700012",$U$17:$U$500)</f>
        <v>299.70000000000005</v>
      </c>
      <c r="V12" s="67">
        <f>SUMIF($C$17:$C$500,70004,$Z$17:$Z$500)+SUMIF($C$17:$C$500,"M70026",$Z$17:$Z$500)+SUMIF($C$17:$C$500,"M70028",$Z$17:$Z$500)+SUMIF($C$17:$C$500,"724",$Z$17:$Z$500)+SUMIF($C$17:$C$500,"70001",$Z$17:$Z$500)+SUMIF($C$17:$C$500,"700012",$Z$17:$Z$500)</f>
        <v>296.10000000000002</v>
      </c>
      <c r="W12" s="68">
        <f t="shared" si="4"/>
        <v>-3.6000000000000227</v>
      </c>
      <c r="X12" s="37"/>
      <c r="Y12" s="54" t="s">
        <v>10</v>
      </c>
      <c r="Z12" s="52"/>
      <c r="AA12" s="37"/>
      <c r="AB12" s="37"/>
      <c r="AC12" s="37"/>
      <c r="AD12" s="37"/>
      <c r="AE12" s="37"/>
      <c r="AF12" s="37"/>
      <c r="AH12" s="13">
        <f t="shared" ref="AH12:BL12" si="10">SUMIF($C:$C,70008,AH:AH)+SUMIF($C:$C,70019,AH:AH)+SUMIF($C:$C,70017,AH:AH)+SUMIF($C:$C,70010,AH:AH)+SUMIF($C:$C,70021,AH:AH)+SUMIF($C:$C,70009,AH:AH)+SUMIF($C:$C,70020,AH:AH)+SUMIF($C:$C,70004,AH:AH)+SUMIF($C:$C,70027,AH:AH)+SUMIF($C:$C,"M70026",AH:AH)+SUMIF($C:$C,"M70028",AH:AH)+SUMIF($C:$C,"724",AH:AH)+SUMIF($C:$C,"70001",AH:AH)+SUMIF($C:$C,"700012",AH:AH)</f>
        <v>111.9</v>
      </c>
      <c r="AI12" s="13">
        <f t="shared" si="10"/>
        <v>111.00000000000001</v>
      </c>
      <c r="AJ12" s="13">
        <f t="shared" si="10"/>
        <v>101.10000000000001</v>
      </c>
      <c r="AK12" s="13">
        <f t="shared" si="10"/>
        <v>91.5</v>
      </c>
      <c r="AL12" s="13">
        <f t="shared" si="10"/>
        <v>113.4</v>
      </c>
      <c r="AM12" s="13">
        <f t="shared" si="10"/>
        <v>111</v>
      </c>
      <c r="AN12" s="13">
        <f t="shared" si="10"/>
        <v>111.60000000000001</v>
      </c>
      <c r="AO12" s="13">
        <f t="shared" si="10"/>
        <v>111</v>
      </c>
      <c r="AP12" s="13">
        <f t="shared" si="10"/>
        <v>112.2</v>
      </c>
      <c r="AQ12" s="13">
        <f t="shared" si="10"/>
        <v>111.60000000000001</v>
      </c>
      <c r="AR12" s="13">
        <f t="shared" si="10"/>
        <v>120</v>
      </c>
      <c r="AS12" s="13">
        <f t="shared" si="10"/>
        <v>112.80000000000001</v>
      </c>
      <c r="AT12" s="13">
        <f t="shared" si="10"/>
        <v>111.60000000000001</v>
      </c>
      <c r="AU12" s="13">
        <f t="shared" si="10"/>
        <v>111</v>
      </c>
      <c r="AV12" s="13">
        <f t="shared" si="10"/>
        <v>111</v>
      </c>
      <c r="AW12" s="13">
        <f t="shared" si="10"/>
        <v>111.60000000000001</v>
      </c>
      <c r="AX12" s="13">
        <f t="shared" si="10"/>
        <v>103.9</v>
      </c>
      <c r="AY12" s="13">
        <f t="shared" si="10"/>
        <v>111.6</v>
      </c>
      <c r="AZ12" s="13">
        <f t="shared" si="10"/>
        <v>111</v>
      </c>
      <c r="BA12" s="13">
        <f t="shared" si="10"/>
        <v>111.89999999999999</v>
      </c>
      <c r="BB12" s="13">
        <f t="shared" si="10"/>
        <v>111</v>
      </c>
      <c r="BC12" s="13">
        <f t="shared" si="10"/>
        <v>112.2</v>
      </c>
      <c r="BD12" s="13">
        <f t="shared" si="10"/>
        <v>119.1</v>
      </c>
      <c r="BE12" s="13">
        <f t="shared" si="10"/>
        <v>111</v>
      </c>
      <c r="BF12" s="13">
        <f t="shared" si="10"/>
        <v>119.4</v>
      </c>
      <c r="BG12" s="13">
        <f t="shared" si="10"/>
        <v>111.00000000000001</v>
      </c>
      <c r="BH12" s="13">
        <f t="shared" si="10"/>
        <v>103.5</v>
      </c>
      <c r="BI12" s="13">
        <f t="shared" si="10"/>
        <v>119.1</v>
      </c>
      <c r="BJ12" s="13">
        <f t="shared" si="10"/>
        <v>119.1</v>
      </c>
      <c r="BK12" s="13">
        <f t="shared" si="10"/>
        <v>111.3</v>
      </c>
      <c r="BL12" s="13">
        <f t="shared" si="10"/>
        <v>119.10000000000001</v>
      </c>
      <c r="BM12" s="76" t="s">
        <v>16</v>
      </c>
      <c r="BN12" s="2">
        <v>216</v>
      </c>
      <c r="BR12" s="77">
        <f t="shared" si="1"/>
        <v>3458.5</v>
      </c>
    </row>
    <row r="13" spans="1:70" ht="30" customHeight="1" x14ac:dyDescent="0.25">
      <c r="A13" s="36"/>
      <c r="B13" s="58" t="s">
        <v>32</v>
      </c>
      <c r="C13" s="67">
        <f>SUMIF($C$17:$C$500,70008,$U$17:$U$500)+SUMIF($C$17:$C$500,70019,$U$17:$U$500)+SUMIF($C$17:$C$500,70017,$U$17:$U$500)+SUMIF($C$17:$C$500,70010,$U$17:$U$500)+SUMIF($C$17:$C$500,70021,$U$17:$U$500)+SUMIF($C$17:$C$500,70009,$U$17:$U$500)+SUMIF($C$17:$C$500,70020,$U$17:$U$500)+SUMIF($C$17:$C$500,70027,$U$17:$U$500)</f>
        <v>3201.3</v>
      </c>
      <c r="D13" s="67">
        <f>SUMIF($C$17:$C$500,70008,$Z$17:$Z$500)+SUMIF($C$17:$C$500,70019,$Z$17:$Z$500)+SUMIF($C$17:$C$500,70017,$Z$17:$Z$500)+SUMIF($C$17:$C$500,70010,$Z$17:$Z$500)+SUMIF($C$17:$C$500,70021,$Z$17:$Z$500)+SUMIF($C$17:$C$500,70009,$Z$17:$Z$500)+SUMIF($C$17:$C$500,70020,$Z$17:$Z$500)+SUMIF($C$17:$C$500,70027,$Z$17:$Z$500)</f>
        <v>3162.4</v>
      </c>
      <c r="E13" s="68">
        <f t="shared" si="3"/>
        <v>-38.900000000000091</v>
      </c>
      <c r="F13" s="37"/>
      <c r="G13" s="37"/>
      <c r="H13" s="37"/>
      <c r="I13" s="52"/>
      <c r="J13" s="41"/>
      <c r="K13" s="42"/>
      <c r="L13" s="42"/>
      <c r="M13" s="42"/>
      <c r="N13" s="42"/>
      <c r="O13" s="43"/>
      <c r="P13" s="37"/>
      <c r="Q13" s="37"/>
      <c r="R13" s="37"/>
      <c r="S13" s="37"/>
      <c r="T13" s="59"/>
      <c r="U13" s="37"/>
      <c r="V13" s="37"/>
      <c r="W13" s="37"/>
      <c r="X13" s="37"/>
      <c r="Y13" s="70">
        <f>Y10-Y7</f>
        <v>-246.00000000000728</v>
      </c>
      <c r="Z13" s="52"/>
      <c r="AA13" s="37"/>
      <c r="AB13" s="37"/>
      <c r="AC13" s="37"/>
      <c r="AD13" s="37"/>
      <c r="AE13" s="37"/>
      <c r="AF13" s="37"/>
      <c r="AH13" s="13">
        <f t="shared" ref="AH13:BL13" si="11">SUMIFS(AH:AH,$I:$I,"Máquina",$D:$D,"linha A cat01")</f>
        <v>69</v>
      </c>
      <c r="AI13" s="13">
        <f t="shared" si="11"/>
        <v>86.7</v>
      </c>
      <c r="AJ13" s="13">
        <f t="shared" si="11"/>
        <v>76.8</v>
      </c>
      <c r="AK13" s="13">
        <f t="shared" si="11"/>
        <v>32.700000000000003</v>
      </c>
      <c r="AL13" s="13">
        <f t="shared" si="11"/>
        <v>70.5</v>
      </c>
      <c r="AM13" s="13">
        <f t="shared" si="11"/>
        <v>85.800000000000011</v>
      </c>
      <c r="AN13" s="13">
        <f t="shared" si="11"/>
        <v>101.7</v>
      </c>
      <c r="AO13" s="13">
        <f t="shared" si="11"/>
        <v>111.00000000000001</v>
      </c>
      <c r="AP13" s="13">
        <f t="shared" si="11"/>
        <v>69.3</v>
      </c>
      <c r="AQ13" s="13">
        <f t="shared" si="11"/>
        <v>50.7</v>
      </c>
      <c r="AR13" s="13">
        <f t="shared" si="11"/>
        <v>78</v>
      </c>
      <c r="AS13" s="13">
        <f t="shared" si="11"/>
        <v>19.8</v>
      </c>
      <c r="AT13" s="13">
        <f t="shared" si="11"/>
        <v>81</v>
      </c>
      <c r="AU13" s="13">
        <f t="shared" si="11"/>
        <v>64.5</v>
      </c>
      <c r="AV13" s="13">
        <f t="shared" si="11"/>
        <v>78.000000000000014</v>
      </c>
      <c r="AW13" s="13">
        <f t="shared" si="11"/>
        <v>83.699999999999989</v>
      </c>
      <c r="AX13" s="13">
        <f t="shared" si="11"/>
        <v>61</v>
      </c>
      <c r="AY13" s="13">
        <f t="shared" si="11"/>
        <v>44.1</v>
      </c>
      <c r="AZ13" s="13">
        <f t="shared" si="11"/>
        <v>20.700000000000003</v>
      </c>
      <c r="BA13" s="13">
        <f t="shared" si="11"/>
        <v>77.7</v>
      </c>
      <c r="BB13" s="13">
        <f t="shared" si="11"/>
        <v>30.6</v>
      </c>
      <c r="BC13" s="13">
        <f t="shared" si="11"/>
        <v>9.9</v>
      </c>
      <c r="BD13" s="13">
        <f t="shared" si="11"/>
        <v>31.5</v>
      </c>
      <c r="BE13" s="13">
        <f t="shared" si="11"/>
        <v>30.6</v>
      </c>
      <c r="BF13" s="13">
        <f t="shared" si="11"/>
        <v>85.8</v>
      </c>
      <c r="BG13" s="13">
        <f t="shared" si="11"/>
        <v>43.8</v>
      </c>
      <c r="BH13" s="13">
        <f t="shared" si="11"/>
        <v>51.6</v>
      </c>
      <c r="BI13" s="13">
        <f t="shared" si="11"/>
        <v>63.599999999999994</v>
      </c>
      <c r="BJ13" s="13">
        <f t="shared" si="11"/>
        <v>62.699999999999996</v>
      </c>
      <c r="BK13" s="13">
        <f t="shared" si="11"/>
        <v>62.7</v>
      </c>
      <c r="BL13" s="13">
        <f t="shared" si="11"/>
        <v>32.4</v>
      </c>
      <c r="BM13" s="76" t="s">
        <v>1014</v>
      </c>
      <c r="BN13" s="2">
        <v>120</v>
      </c>
      <c r="BR13" s="77">
        <f t="shared" si="1"/>
        <v>1867.8999999999999</v>
      </c>
    </row>
    <row r="14" spans="1:70" ht="30" customHeight="1" x14ac:dyDescent="0.25">
      <c r="A14" s="37"/>
      <c r="B14" s="37"/>
      <c r="C14" s="59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59"/>
      <c r="U14" s="37"/>
      <c r="V14" s="37"/>
      <c r="W14" s="37"/>
      <c r="X14" s="36"/>
      <c r="Y14" s="37"/>
      <c r="Z14" s="52"/>
      <c r="AA14" s="37"/>
      <c r="AB14" s="37"/>
      <c r="AC14" s="37"/>
      <c r="AD14" s="37"/>
      <c r="AE14" s="37"/>
      <c r="AF14" s="37"/>
      <c r="AH14" s="13">
        <f t="shared" ref="AH14:BL14" si="12">SUMIFS(AH:AH,$I:$I,"Máquina",$D:$D,"linha A cat02")</f>
        <v>42.9</v>
      </c>
      <c r="AI14" s="13">
        <f t="shared" si="12"/>
        <v>9.9</v>
      </c>
      <c r="AJ14" s="13">
        <f t="shared" si="12"/>
        <v>24.3</v>
      </c>
      <c r="AK14" s="13">
        <f t="shared" si="12"/>
        <v>58.8</v>
      </c>
      <c r="AL14" s="13">
        <f t="shared" si="12"/>
        <v>42.9</v>
      </c>
      <c r="AM14" s="13">
        <f t="shared" si="12"/>
        <v>25.200000000000003</v>
      </c>
      <c r="AN14" s="13">
        <f t="shared" si="12"/>
        <v>9.9</v>
      </c>
      <c r="AO14" s="13">
        <f t="shared" si="12"/>
        <v>0</v>
      </c>
      <c r="AP14" s="13">
        <f t="shared" si="12"/>
        <v>42.9</v>
      </c>
      <c r="AQ14" s="13">
        <f t="shared" si="12"/>
        <v>42.9</v>
      </c>
      <c r="AR14" s="13">
        <f t="shared" si="12"/>
        <v>42</v>
      </c>
      <c r="AS14" s="13">
        <f t="shared" si="12"/>
        <v>69.600000000000009</v>
      </c>
      <c r="AT14" s="13">
        <f t="shared" si="12"/>
        <v>30.6</v>
      </c>
      <c r="AU14" s="13">
        <f t="shared" si="12"/>
        <v>0</v>
      </c>
      <c r="AV14" s="13">
        <f t="shared" si="12"/>
        <v>33</v>
      </c>
      <c r="AW14" s="13">
        <f t="shared" si="12"/>
        <v>27.9</v>
      </c>
      <c r="AX14" s="13">
        <f t="shared" si="12"/>
        <v>42.9</v>
      </c>
      <c r="AY14" s="13">
        <f t="shared" si="12"/>
        <v>42.9</v>
      </c>
      <c r="AZ14" s="13">
        <f t="shared" si="12"/>
        <v>78.599999999999994</v>
      </c>
      <c r="BA14" s="13">
        <f t="shared" si="12"/>
        <v>24.3</v>
      </c>
      <c r="BB14" s="13">
        <f t="shared" si="12"/>
        <v>52.5</v>
      </c>
      <c r="BC14" s="13">
        <f t="shared" si="12"/>
        <v>91.5</v>
      </c>
      <c r="BD14" s="13">
        <f t="shared" si="12"/>
        <v>42</v>
      </c>
      <c r="BE14" s="13">
        <f t="shared" si="12"/>
        <v>52.5</v>
      </c>
      <c r="BF14" s="13">
        <f t="shared" si="12"/>
        <v>21.6</v>
      </c>
      <c r="BG14" s="13">
        <f t="shared" si="12"/>
        <v>67.2</v>
      </c>
      <c r="BH14" s="13">
        <f t="shared" si="12"/>
        <v>51.9</v>
      </c>
      <c r="BI14" s="13">
        <f t="shared" si="12"/>
        <v>42.9</v>
      </c>
      <c r="BJ14" s="13">
        <f t="shared" si="12"/>
        <v>45.6</v>
      </c>
      <c r="BK14" s="13">
        <f t="shared" si="12"/>
        <v>48.6</v>
      </c>
      <c r="BL14" s="13">
        <f t="shared" si="12"/>
        <v>86.7</v>
      </c>
      <c r="BM14" s="76" t="s">
        <v>1013</v>
      </c>
      <c r="BN14" s="2">
        <v>150</v>
      </c>
      <c r="BR14" s="77">
        <f t="shared" si="1"/>
        <v>1294.5</v>
      </c>
    </row>
    <row r="15" spans="1:70" ht="30" customHeight="1" thickBot="1" x14ac:dyDescent="0.4">
      <c r="A15" s="45"/>
      <c r="B15" s="46"/>
      <c r="C15" s="60"/>
      <c r="D15" s="47"/>
      <c r="E15" s="46"/>
      <c r="F15" s="36"/>
      <c r="G15" s="36"/>
      <c r="H15" s="36"/>
      <c r="I15" s="36"/>
      <c r="J15" s="44">
        <f>SUBTOTAL(9,J19:J353)</f>
        <v>0</v>
      </c>
      <c r="K15" s="44">
        <f>SUBTOTAL(9,K19:K353)</f>
        <v>0</v>
      </c>
      <c r="L15" s="44">
        <f>SUBTOTAL(9,L19:L353)</f>
        <v>0</v>
      </c>
      <c r="M15" s="44">
        <f>SUBTOTAL(9,M19:M353)</f>
        <v>0</v>
      </c>
      <c r="N15" s="44">
        <f>SUBTOTAL(9,N19:N353)</f>
        <v>0</v>
      </c>
      <c r="O15" s="48"/>
      <c r="P15" s="37"/>
      <c r="Q15" s="37">
        <f>SUM(Q17:Q421)</f>
        <v>23295</v>
      </c>
      <c r="R15" s="37">
        <f>SUBTOTAL(9,R17:R421)</f>
        <v>19450</v>
      </c>
      <c r="S15" s="37"/>
      <c r="T15" s="59"/>
      <c r="U15" s="37"/>
      <c r="V15" s="37"/>
      <c r="W15" s="36"/>
      <c r="X15" s="37"/>
      <c r="Y15" s="37"/>
      <c r="Z15" s="37"/>
      <c r="AA15" s="49">
        <f>SUBTOTAL(9,AA19:AA296)</f>
        <v>2448</v>
      </c>
      <c r="AB15" s="49">
        <f>SUBTOTAL(9,AB19:AB296)</f>
        <v>2399</v>
      </c>
      <c r="AC15" s="49">
        <f>SUBTOTAL(9,AC19:AC296)</f>
        <v>2257</v>
      </c>
      <c r="AD15" s="49">
        <f>SUBTOTAL(9,AD19:AD296)</f>
        <v>2453</v>
      </c>
      <c r="AE15" s="49">
        <f>SUBTOTAL(9,AE17:AE421)</f>
        <v>10486</v>
      </c>
      <c r="AF15" s="49"/>
      <c r="AG15" s="11">
        <f>AVERAGE(AH15:BJ15)</f>
        <v>1171.6965517241379</v>
      </c>
      <c r="AH15" s="71">
        <f t="shared" ref="AH15:BL15" si="13">SUM(AH17:AH421)</f>
        <v>1171.5</v>
      </c>
      <c r="AI15" s="72">
        <f t="shared" si="13"/>
        <v>1170.9000000000001</v>
      </c>
      <c r="AJ15" s="72">
        <f t="shared" si="13"/>
        <v>1171.6000000000001</v>
      </c>
      <c r="AK15" s="72">
        <f t="shared" si="13"/>
        <v>1172.4000000000001</v>
      </c>
      <c r="AL15" s="72">
        <f t="shared" si="13"/>
        <v>1170.7999999999997</v>
      </c>
      <c r="AM15" s="72">
        <f t="shared" si="13"/>
        <v>1175.8999999999999</v>
      </c>
      <c r="AN15" s="72">
        <f t="shared" si="13"/>
        <v>1170.7</v>
      </c>
      <c r="AO15" s="72">
        <f t="shared" si="13"/>
        <v>1167.2999999999997</v>
      </c>
      <c r="AP15" s="72">
        <f t="shared" si="13"/>
        <v>1172.7</v>
      </c>
      <c r="AQ15" s="72">
        <f t="shared" si="13"/>
        <v>1170</v>
      </c>
      <c r="AR15" s="72">
        <f t="shared" si="13"/>
        <v>1176</v>
      </c>
      <c r="AS15" s="72">
        <f t="shared" si="13"/>
        <v>1171.3000000000002</v>
      </c>
      <c r="AT15" s="72">
        <f t="shared" si="13"/>
        <v>1172.4000000000001</v>
      </c>
      <c r="AU15" s="72">
        <f t="shared" si="13"/>
        <v>1170.2999999999997</v>
      </c>
      <c r="AV15" s="72">
        <f t="shared" si="13"/>
        <v>1175.8</v>
      </c>
      <c r="AW15" s="72">
        <f t="shared" si="13"/>
        <v>1170.5</v>
      </c>
      <c r="AX15" s="72">
        <f t="shared" si="13"/>
        <v>1171.6000000000001</v>
      </c>
      <c r="AY15" s="72">
        <f t="shared" si="13"/>
        <v>1169.8</v>
      </c>
      <c r="AZ15" s="72">
        <f t="shared" si="13"/>
        <v>1171.5</v>
      </c>
      <c r="BA15" s="72">
        <f t="shared" si="13"/>
        <v>1170.5999999999999</v>
      </c>
      <c r="BB15" s="72">
        <f t="shared" si="13"/>
        <v>1171.5999999999999</v>
      </c>
      <c r="BC15" s="72">
        <f t="shared" si="13"/>
        <v>1170.8999999999999</v>
      </c>
      <c r="BD15" s="72">
        <f t="shared" si="13"/>
        <v>1171.3999999999999</v>
      </c>
      <c r="BE15" s="72">
        <f t="shared" si="13"/>
        <v>1175.5</v>
      </c>
      <c r="BF15" s="72">
        <f t="shared" si="13"/>
        <v>1174.8</v>
      </c>
      <c r="BG15" s="72">
        <f t="shared" si="13"/>
        <v>1172.1000000000001</v>
      </c>
      <c r="BH15" s="72">
        <f t="shared" si="13"/>
        <v>1170.8999999999999</v>
      </c>
      <c r="BI15" s="72">
        <f t="shared" si="13"/>
        <v>1167.4000000000001</v>
      </c>
      <c r="BJ15" s="72">
        <f t="shared" si="13"/>
        <v>1171</v>
      </c>
      <c r="BK15" s="72">
        <f t="shared" si="13"/>
        <v>1170.5999999999999</v>
      </c>
      <c r="BL15" s="73">
        <f t="shared" si="13"/>
        <v>1171.2000000000003</v>
      </c>
      <c r="BM15" s="74">
        <f>AVERAGE(AH15:BJ15)</f>
        <v>1171.6965517241379</v>
      </c>
      <c r="BQ15" s="10"/>
      <c r="BR15" s="57">
        <f>COUNTA(BR17:BR421)</f>
        <v>53</v>
      </c>
    </row>
    <row r="16" spans="1:70" s="3" customFormat="1" ht="45.75" customHeight="1" x14ac:dyDescent="0.25">
      <c r="A16" s="14" t="s">
        <v>36</v>
      </c>
      <c r="B16" s="14" t="s">
        <v>37</v>
      </c>
      <c r="C16" s="14" t="s">
        <v>38</v>
      </c>
      <c r="D16" s="14" t="s">
        <v>39</v>
      </c>
      <c r="E16" s="14" t="s">
        <v>40</v>
      </c>
      <c r="F16" s="14" t="s">
        <v>0</v>
      </c>
      <c r="G16" s="14" t="s">
        <v>1</v>
      </c>
      <c r="H16" s="14" t="s">
        <v>2</v>
      </c>
      <c r="I16" s="14" t="s">
        <v>41</v>
      </c>
      <c r="J16" s="14" t="s">
        <v>21</v>
      </c>
      <c r="K16" s="14" t="s">
        <v>22</v>
      </c>
      <c r="L16" s="14" t="s">
        <v>23</v>
      </c>
      <c r="M16" s="14" t="s">
        <v>24</v>
      </c>
      <c r="N16" s="14" t="s">
        <v>25</v>
      </c>
      <c r="O16" s="14" t="s">
        <v>3</v>
      </c>
      <c r="P16" s="14" t="s">
        <v>4</v>
      </c>
      <c r="Q16" s="14" t="s">
        <v>5</v>
      </c>
      <c r="R16" s="14" t="s">
        <v>6</v>
      </c>
      <c r="S16" s="14" t="s">
        <v>7</v>
      </c>
      <c r="T16" s="14" t="s">
        <v>42</v>
      </c>
      <c r="U16" s="14" t="s">
        <v>43</v>
      </c>
      <c r="V16" s="14" t="s">
        <v>44</v>
      </c>
      <c r="W16" s="14" t="s">
        <v>45</v>
      </c>
      <c r="X16" s="14" t="s">
        <v>46</v>
      </c>
      <c r="Y16" s="14" t="s">
        <v>10</v>
      </c>
      <c r="Z16" s="14" t="s">
        <v>47</v>
      </c>
      <c r="AA16" s="35">
        <v>46027</v>
      </c>
      <c r="AB16" s="35">
        <v>46028</v>
      </c>
      <c r="AC16" s="35">
        <v>46029</v>
      </c>
      <c r="AD16" s="35">
        <v>46030</v>
      </c>
      <c r="AE16" s="14" t="s">
        <v>8</v>
      </c>
      <c r="AF16" s="14" t="s">
        <v>48</v>
      </c>
      <c r="AG16" s="14" t="s">
        <v>9</v>
      </c>
      <c r="AH16" s="63">
        <v>46031</v>
      </c>
      <c r="AI16" s="63">
        <v>46032</v>
      </c>
      <c r="AJ16" s="63">
        <v>46033</v>
      </c>
      <c r="AK16" s="63">
        <v>46034</v>
      </c>
      <c r="AL16" s="63">
        <v>46035</v>
      </c>
      <c r="AM16" s="63">
        <v>46036</v>
      </c>
      <c r="AN16" s="63">
        <v>46037</v>
      </c>
      <c r="AO16" s="63">
        <v>46038</v>
      </c>
      <c r="AP16" s="63">
        <v>46039</v>
      </c>
      <c r="AQ16" s="63">
        <v>46040</v>
      </c>
      <c r="AR16" s="63">
        <v>46041</v>
      </c>
      <c r="AS16" s="63">
        <v>46042</v>
      </c>
      <c r="AT16" s="63">
        <v>46043</v>
      </c>
      <c r="AU16" s="63">
        <v>46044</v>
      </c>
      <c r="AV16" s="63">
        <v>46045</v>
      </c>
      <c r="AW16" s="63">
        <v>46046</v>
      </c>
      <c r="AX16" s="63">
        <v>46047</v>
      </c>
      <c r="AY16" s="63">
        <v>46048</v>
      </c>
      <c r="AZ16" s="63">
        <v>46049</v>
      </c>
      <c r="BA16" s="63">
        <v>46050</v>
      </c>
      <c r="BB16" s="63">
        <v>46051</v>
      </c>
      <c r="BC16" s="63">
        <v>46052</v>
      </c>
      <c r="BD16" s="63">
        <v>46053</v>
      </c>
      <c r="BE16" s="63">
        <v>46054</v>
      </c>
      <c r="BF16" s="63">
        <v>46055</v>
      </c>
      <c r="BG16" s="63">
        <v>46056</v>
      </c>
      <c r="BH16" s="63">
        <v>46057</v>
      </c>
      <c r="BI16" s="63">
        <v>46058</v>
      </c>
      <c r="BJ16" s="63">
        <v>46059</v>
      </c>
      <c r="BK16" s="63">
        <v>46060</v>
      </c>
      <c r="BL16" s="63">
        <v>46061</v>
      </c>
      <c r="BM16" s="14" t="s">
        <v>10</v>
      </c>
      <c r="BN16" s="14" t="s">
        <v>11</v>
      </c>
      <c r="BO16" s="14" t="s">
        <v>12</v>
      </c>
      <c r="BP16" s="14" t="s">
        <v>13</v>
      </c>
      <c r="BQ16" s="14" t="s">
        <v>12</v>
      </c>
      <c r="BR16" s="14" t="s">
        <v>19</v>
      </c>
    </row>
    <row r="17" spans="1:70" s="12" customFormat="1" ht="24.95" customHeight="1" x14ac:dyDescent="0.25">
      <c r="A17" s="4" t="s">
        <v>51</v>
      </c>
      <c r="B17" s="15" t="s">
        <v>52</v>
      </c>
      <c r="C17" s="5">
        <v>70001</v>
      </c>
      <c r="D17" s="5" t="s">
        <v>727</v>
      </c>
      <c r="E17" s="16" t="s">
        <v>747</v>
      </c>
      <c r="F17" s="16">
        <v>1</v>
      </c>
      <c r="G17" s="16">
        <v>0</v>
      </c>
      <c r="H17" s="16">
        <v>0</v>
      </c>
      <c r="I17" s="16" t="s">
        <v>15</v>
      </c>
      <c r="J17" s="17"/>
      <c r="K17" s="17"/>
      <c r="L17" s="17"/>
      <c r="M17" s="17"/>
      <c r="N17" s="17"/>
      <c r="O17" s="13"/>
      <c r="P17" s="13"/>
      <c r="Q17" s="13">
        <v>15</v>
      </c>
      <c r="R17" s="6">
        <v>15</v>
      </c>
      <c r="S17" s="7">
        <v>0.08</v>
      </c>
      <c r="T17" s="62">
        <v>33</v>
      </c>
      <c r="U17" s="16">
        <v>27.900000000000002</v>
      </c>
      <c r="V17" s="16"/>
      <c r="W17" s="16">
        <v>54</v>
      </c>
      <c r="X17" s="18">
        <v>54</v>
      </c>
      <c r="Y17" s="16">
        <f>Z17-U17</f>
        <v>0</v>
      </c>
      <c r="Z17" s="16">
        <f>SUM(AH17:BL17)</f>
        <v>27.9</v>
      </c>
      <c r="AA17" s="4">
        <v>0</v>
      </c>
      <c r="AB17" s="4">
        <v>0</v>
      </c>
      <c r="AC17" s="4">
        <v>0</v>
      </c>
      <c r="AD17" s="4">
        <v>0</v>
      </c>
      <c r="AE17" s="19">
        <v>0</v>
      </c>
      <c r="AF17" s="13">
        <f>IF(I17="Máquina",IF(COUNTIF(D17,"*cat02*"),4,IF(COUNTIF(D17,"*cat01*"),3,IF(COUNTIF(D17,"*cat04*"),2,IF(COUNTIF(D17,"*cat03*"),5,2)))),IF(COUNTIF(D17,"*cat02*"),3,IF(COUNTIF(D17,"*cat01*"),2,IF(COUNTIF(D17,"*cat04*"),2,IF(COUNTIF(D17,"*cat03*"),5,2)))))</f>
        <v>2</v>
      </c>
      <c r="AG17" s="20">
        <f t="shared" ref="AG17:AG80" si="14">IF(AH$16="", "", MAX(AH$16, IF(AD17&gt;0, AD$16+AF17+1, IF(AC17&gt;0, AC$16+AF17+1, IF(AB17&gt;0, AB$16+AF17+1, IF(AA17&gt;0, AA$16+AF17+1, 0))))))</f>
        <v>46031</v>
      </c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21"/>
      <c r="AW17" s="13"/>
      <c r="AX17" s="13"/>
      <c r="AY17" s="13"/>
      <c r="AZ17" s="13"/>
      <c r="BA17" s="13"/>
      <c r="BB17" s="13">
        <v>27.9</v>
      </c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>
        <f t="shared" ref="BM17:BM80" si="15">SUM(U17-(SUM(AH17:BJ17)))</f>
        <v>3.5527136788005009E-15</v>
      </c>
      <c r="BN17" s="22">
        <f t="shared" ref="BN17:BN80" si="16">MAX(AH17:BJ17)</f>
        <v>27.9</v>
      </c>
      <c r="BO17" s="23" t="str">
        <f t="shared" ref="BO17:BO80" si="17">IF(BN17&gt;W17+V17,"ver","ok")</f>
        <v>ok</v>
      </c>
      <c r="BP17" s="22">
        <f t="shared" ref="BP17:BP80" si="18">V17+W17</f>
        <v>54</v>
      </c>
      <c r="BQ17" s="22" t="str">
        <f t="shared" ref="BQ17:BQ80" si="19">IF(BN17&gt;BP17,BN17,"ok")</f>
        <v>ok</v>
      </c>
      <c r="BR17" s="56"/>
    </row>
    <row r="18" spans="1:70" s="12" customFormat="1" ht="24.95" customHeight="1" x14ac:dyDescent="0.25">
      <c r="A18" s="4" t="s">
        <v>53</v>
      </c>
      <c r="B18" s="15" t="s">
        <v>54</v>
      </c>
      <c r="C18" s="5">
        <v>70002</v>
      </c>
      <c r="D18" s="5" t="s">
        <v>728</v>
      </c>
      <c r="E18" s="16" t="s">
        <v>748</v>
      </c>
      <c r="F18" s="16">
        <v>1</v>
      </c>
      <c r="G18" s="16">
        <v>0</v>
      </c>
      <c r="H18" s="16">
        <v>0</v>
      </c>
      <c r="I18" s="16" t="s">
        <v>14</v>
      </c>
      <c r="J18" s="13"/>
      <c r="K18" s="13"/>
      <c r="L18" s="13"/>
      <c r="M18" s="13"/>
      <c r="N18" s="13"/>
      <c r="O18" s="13"/>
      <c r="P18" s="13"/>
      <c r="Q18" s="13">
        <v>11</v>
      </c>
      <c r="R18" s="6">
        <v>13</v>
      </c>
      <c r="S18" s="7">
        <v>0.3</v>
      </c>
      <c r="T18" s="62">
        <v>45</v>
      </c>
      <c r="U18" s="16">
        <v>12.6</v>
      </c>
      <c r="V18" s="16"/>
      <c r="W18" s="16">
        <v>37.5</v>
      </c>
      <c r="X18" s="18">
        <v>37.5</v>
      </c>
      <c r="Y18" s="16">
        <f t="shared" ref="Y18:Y81" si="20">Z18-U18</f>
        <v>0</v>
      </c>
      <c r="Z18" s="16">
        <f t="shared" ref="Z18:Z81" si="21">SUM(AH18:BL18)</f>
        <v>12.6</v>
      </c>
      <c r="AA18" s="4">
        <v>0</v>
      </c>
      <c r="AB18" s="4">
        <v>0</v>
      </c>
      <c r="AC18" s="4">
        <v>0</v>
      </c>
      <c r="AD18" s="4">
        <v>0</v>
      </c>
      <c r="AE18" s="19">
        <v>0</v>
      </c>
      <c r="AF18" s="13">
        <f t="shared" ref="AF18:AF81" si="22">IF(I18="Máquina",IF(COUNTIF(D18,"*cat02*"),4,IF(COUNTIF(D18,"*cat01*"),3,IF(COUNTIF(D18,"*cat04*"),2,IF(COUNTIF(D18,"*cat03*"),5,2)))),IF(COUNTIF(D18,"*cat02*"),3,IF(COUNTIF(D18,"*cat01*"),2,IF(COUNTIF(D18,"*cat04*"),2,IF(COUNTIF(D18,"*cat03*"),5,2)))))</f>
        <v>2</v>
      </c>
      <c r="AG18" s="20">
        <f t="shared" si="14"/>
        <v>46031</v>
      </c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21"/>
      <c r="AW18" s="13"/>
      <c r="AX18" s="13"/>
      <c r="AY18" s="13"/>
      <c r="AZ18" s="13"/>
      <c r="BA18" s="13"/>
      <c r="BB18" s="13"/>
      <c r="BC18" s="13">
        <v>12.6</v>
      </c>
      <c r="BD18" s="13"/>
      <c r="BE18" s="13"/>
      <c r="BF18" s="13"/>
      <c r="BG18" s="13"/>
      <c r="BH18" s="13"/>
      <c r="BI18" s="13"/>
      <c r="BJ18" s="13"/>
      <c r="BK18" s="13"/>
      <c r="BL18" s="13"/>
      <c r="BM18" s="13">
        <f t="shared" si="15"/>
        <v>0</v>
      </c>
      <c r="BN18" s="22">
        <f t="shared" si="16"/>
        <v>12.6</v>
      </c>
      <c r="BO18" s="23" t="str">
        <f t="shared" si="17"/>
        <v>ok</v>
      </c>
      <c r="BP18" s="22">
        <f t="shared" si="18"/>
        <v>37.5</v>
      </c>
      <c r="BQ18" s="22" t="str">
        <f t="shared" si="19"/>
        <v>ok</v>
      </c>
      <c r="BR18" s="56"/>
    </row>
    <row r="19" spans="1:70" s="12" customFormat="1" ht="24.95" customHeight="1" x14ac:dyDescent="0.25">
      <c r="A19" s="4" t="s">
        <v>55</v>
      </c>
      <c r="B19" s="15" t="s">
        <v>56</v>
      </c>
      <c r="C19" s="5">
        <v>70002</v>
      </c>
      <c r="D19" s="5" t="s">
        <v>728</v>
      </c>
      <c r="E19" s="16" t="s">
        <v>749</v>
      </c>
      <c r="F19" s="16">
        <v>1</v>
      </c>
      <c r="G19" s="16">
        <v>0</v>
      </c>
      <c r="H19" s="16">
        <v>0</v>
      </c>
      <c r="I19" s="16" t="s">
        <v>14</v>
      </c>
      <c r="J19" s="17"/>
      <c r="K19" s="17"/>
      <c r="L19" s="17"/>
      <c r="M19" s="17"/>
      <c r="N19" s="17"/>
      <c r="O19" s="13"/>
      <c r="P19" s="13"/>
      <c r="Q19" s="13">
        <v>12</v>
      </c>
      <c r="R19" s="6">
        <v>10</v>
      </c>
      <c r="S19" s="7">
        <v>0.3</v>
      </c>
      <c r="T19" s="62">
        <v>45</v>
      </c>
      <c r="U19" s="16">
        <v>14.4</v>
      </c>
      <c r="V19" s="16"/>
      <c r="W19" s="16">
        <v>78</v>
      </c>
      <c r="X19" s="18">
        <v>78</v>
      </c>
      <c r="Y19" s="16">
        <f t="shared" si="20"/>
        <v>0</v>
      </c>
      <c r="Z19" s="16">
        <f t="shared" si="21"/>
        <v>14.4</v>
      </c>
      <c r="AA19" s="4">
        <v>0</v>
      </c>
      <c r="AB19" s="4">
        <v>0</v>
      </c>
      <c r="AC19" s="4">
        <v>0</v>
      </c>
      <c r="AD19" s="4">
        <v>0</v>
      </c>
      <c r="AE19" s="19">
        <v>0</v>
      </c>
      <c r="AF19" s="13">
        <f t="shared" si="22"/>
        <v>2</v>
      </c>
      <c r="AG19" s="20">
        <f t="shared" si="14"/>
        <v>46031</v>
      </c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>
        <v>14.4</v>
      </c>
      <c r="AU19" s="13"/>
      <c r="AV19" s="21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>
        <f t="shared" si="15"/>
        <v>0</v>
      </c>
      <c r="BN19" s="22">
        <f t="shared" si="16"/>
        <v>14.4</v>
      </c>
      <c r="BO19" s="23" t="str">
        <f t="shared" si="17"/>
        <v>ok</v>
      </c>
      <c r="BP19" s="22">
        <f t="shared" si="18"/>
        <v>78</v>
      </c>
      <c r="BQ19" s="22" t="str">
        <f t="shared" si="19"/>
        <v>ok</v>
      </c>
      <c r="BR19" s="56"/>
    </row>
    <row r="20" spans="1:70" s="12" customFormat="1" ht="24.95" customHeight="1" x14ac:dyDescent="0.25">
      <c r="A20" s="4" t="s">
        <v>57</v>
      </c>
      <c r="B20" s="15" t="s">
        <v>58</v>
      </c>
      <c r="C20" s="5">
        <v>70002</v>
      </c>
      <c r="D20" s="5" t="s">
        <v>728</v>
      </c>
      <c r="E20" s="16" t="s">
        <v>750</v>
      </c>
      <c r="F20" s="16">
        <v>1</v>
      </c>
      <c r="G20" s="16">
        <v>0</v>
      </c>
      <c r="H20" s="16">
        <v>0</v>
      </c>
      <c r="I20" s="16" t="s">
        <v>14</v>
      </c>
      <c r="J20" s="17"/>
      <c r="K20" s="17"/>
      <c r="L20" s="17"/>
      <c r="M20" s="17"/>
      <c r="N20" s="17"/>
      <c r="O20" s="13"/>
      <c r="P20" s="13"/>
      <c r="Q20" s="13">
        <v>11</v>
      </c>
      <c r="R20" s="6">
        <v>13</v>
      </c>
      <c r="S20" s="7">
        <v>0.3</v>
      </c>
      <c r="T20" s="62">
        <v>45</v>
      </c>
      <c r="U20" s="16">
        <v>9</v>
      </c>
      <c r="V20" s="16"/>
      <c r="W20" s="16">
        <v>39</v>
      </c>
      <c r="X20" s="18">
        <v>39</v>
      </c>
      <c r="Y20" s="16">
        <f t="shared" si="20"/>
        <v>0</v>
      </c>
      <c r="Z20" s="16">
        <f t="shared" si="21"/>
        <v>9</v>
      </c>
      <c r="AA20" s="4">
        <v>0</v>
      </c>
      <c r="AB20" s="4">
        <v>0</v>
      </c>
      <c r="AC20" s="4">
        <v>0</v>
      </c>
      <c r="AD20" s="4">
        <v>0</v>
      </c>
      <c r="AE20" s="19">
        <v>0</v>
      </c>
      <c r="AF20" s="13">
        <f t="shared" si="22"/>
        <v>2</v>
      </c>
      <c r="AG20" s="20">
        <f t="shared" si="14"/>
        <v>46031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13"/>
      <c r="AZ20" s="13"/>
      <c r="BA20" s="13"/>
      <c r="BB20" s="13"/>
      <c r="BC20" s="13"/>
      <c r="BD20" s="13"/>
      <c r="BE20" s="13">
        <v>9</v>
      </c>
      <c r="BF20" s="13"/>
      <c r="BG20" s="13"/>
      <c r="BH20" s="13"/>
      <c r="BI20" s="13"/>
      <c r="BJ20" s="13"/>
      <c r="BK20" s="13"/>
      <c r="BL20" s="13"/>
      <c r="BM20" s="13">
        <f t="shared" si="15"/>
        <v>0</v>
      </c>
      <c r="BN20" s="22">
        <f t="shared" si="16"/>
        <v>9</v>
      </c>
      <c r="BO20" s="23" t="str">
        <f t="shared" si="17"/>
        <v>ok</v>
      </c>
      <c r="BP20" s="22">
        <f t="shared" si="18"/>
        <v>39</v>
      </c>
      <c r="BQ20" s="22" t="str">
        <f t="shared" si="19"/>
        <v>ok</v>
      </c>
      <c r="BR20" s="56"/>
    </row>
    <row r="21" spans="1:70" s="12" customFormat="1" ht="24.95" customHeight="1" x14ac:dyDescent="0.25">
      <c r="A21" s="4" t="s">
        <v>59</v>
      </c>
      <c r="B21" s="15" t="s">
        <v>60</v>
      </c>
      <c r="C21" s="5">
        <v>70002</v>
      </c>
      <c r="D21" s="5" t="s">
        <v>728</v>
      </c>
      <c r="E21" s="16" t="s">
        <v>751</v>
      </c>
      <c r="F21" s="16">
        <v>1</v>
      </c>
      <c r="G21" s="16">
        <v>0</v>
      </c>
      <c r="H21" s="16">
        <v>0</v>
      </c>
      <c r="I21" s="16" t="s">
        <v>14</v>
      </c>
      <c r="J21" s="17"/>
      <c r="K21" s="17"/>
      <c r="L21" s="17"/>
      <c r="M21" s="17"/>
      <c r="N21" s="17"/>
      <c r="O21" s="13"/>
      <c r="P21" s="13"/>
      <c r="Q21" s="13">
        <v>47</v>
      </c>
      <c r="R21" s="6">
        <v>46</v>
      </c>
      <c r="S21" s="7">
        <v>0.2</v>
      </c>
      <c r="T21" s="62">
        <v>45</v>
      </c>
      <c r="U21" s="16">
        <v>26.1</v>
      </c>
      <c r="V21" s="16"/>
      <c r="W21" s="16">
        <v>43.5</v>
      </c>
      <c r="X21" s="18">
        <v>43.5</v>
      </c>
      <c r="Y21" s="16">
        <f t="shared" si="20"/>
        <v>0</v>
      </c>
      <c r="Z21" s="16">
        <f t="shared" si="21"/>
        <v>26.1</v>
      </c>
      <c r="AA21" s="4">
        <v>0</v>
      </c>
      <c r="AB21" s="4">
        <v>0</v>
      </c>
      <c r="AC21" s="4">
        <v>0</v>
      </c>
      <c r="AD21" s="4">
        <v>0</v>
      </c>
      <c r="AE21" s="19">
        <v>0</v>
      </c>
      <c r="AF21" s="13">
        <f t="shared" si="22"/>
        <v>2</v>
      </c>
      <c r="AG21" s="20">
        <f t="shared" si="14"/>
        <v>46031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13"/>
      <c r="AZ21" s="13"/>
      <c r="BA21" s="13"/>
      <c r="BB21" s="13"/>
      <c r="BC21" s="24"/>
      <c r="BD21" s="13"/>
      <c r="BE21" s="13">
        <v>26.1</v>
      </c>
      <c r="BF21" s="13"/>
      <c r="BG21" s="13"/>
      <c r="BH21" s="13"/>
      <c r="BI21" s="13"/>
      <c r="BJ21" s="13"/>
      <c r="BK21" s="13"/>
      <c r="BL21" s="13"/>
      <c r="BM21" s="13">
        <f t="shared" si="15"/>
        <v>0</v>
      </c>
      <c r="BN21" s="22">
        <f t="shared" si="16"/>
        <v>26.1</v>
      </c>
      <c r="BO21" s="23" t="str">
        <f t="shared" si="17"/>
        <v>ok</v>
      </c>
      <c r="BP21" s="22">
        <f t="shared" si="18"/>
        <v>43.5</v>
      </c>
      <c r="BQ21" s="22" t="str">
        <f t="shared" si="19"/>
        <v>ok</v>
      </c>
      <c r="BR21" s="56"/>
    </row>
    <row r="22" spans="1:70" s="12" customFormat="1" ht="24.95" customHeight="1" x14ac:dyDescent="0.25">
      <c r="A22" s="4" t="s">
        <v>61</v>
      </c>
      <c r="B22" s="15" t="s">
        <v>62</v>
      </c>
      <c r="C22" s="5">
        <v>70002</v>
      </c>
      <c r="D22" s="5" t="s">
        <v>728</v>
      </c>
      <c r="E22" s="16" t="s">
        <v>752</v>
      </c>
      <c r="F22" s="16">
        <v>1</v>
      </c>
      <c r="G22" s="16">
        <v>0</v>
      </c>
      <c r="H22" s="16">
        <v>0</v>
      </c>
      <c r="I22" s="16" t="s">
        <v>14</v>
      </c>
      <c r="J22" s="17"/>
      <c r="K22" s="17"/>
      <c r="L22" s="17"/>
      <c r="M22" s="17"/>
      <c r="N22" s="17"/>
      <c r="O22" s="13"/>
      <c r="P22" s="13"/>
      <c r="Q22" s="13">
        <v>19</v>
      </c>
      <c r="R22" s="6">
        <v>12</v>
      </c>
      <c r="S22" s="7">
        <v>0.2</v>
      </c>
      <c r="T22" s="62">
        <v>45</v>
      </c>
      <c r="U22" s="16">
        <v>97.2</v>
      </c>
      <c r="V22" s="16"/>
      <c r="W22" s="16">
        <v>40.5</v>
      </c>
      <c r="X22" s="18">
        <v>40.5</v>
      </c>
      <c r="Y22" s="16">
        <f t="shared" si="20"/>
        <v>0</v>
      </c>
      <c r="Z22" s="16">
        <f t="shared" si="21"/>
        <v>97.2</v>
      </c>
      <c r="AA22" s="4">
        <v>0</v>
      </c>
      <c r="AB22" s="4">
        <v>0</v>
      </c>
      <c r="AC22" s="4">
        <v>0</v>
      </c>
      <c r="AD22" s="4">
        <v>0</v>
      </c>
      <c r="AE22" s="19">
        <v>0</v>
      </c>
      <c r="AF22" s="13">
        <f t="shared" si="22"/>
        <v>2</v>
      </c>
      <c r="AG22" s="25">
        <f t="shared" si="14"/>
        <v>46031</v>
      </c>
      <c r="AH22" s="26"/>
      <c r="AI22" s="26"/>
      <c r="AJ22" s="26"/>
      <c r="AK22" s="26"/>
      <c r="AL22" s="24"/>
      <c r="AM22" s="24"/>
      <c r="AN22" s="24"/>
      <c r="AO22" s="24"/>
      <c r="AP22" s="24"/>
      <c r="AQ22" s="26"/>
      <c r="AR22" s="26"/>
      <c r="AS22" s="26">
        <v>40</v>
      </c>
      <c r="AT22" s="13"/>
      <c r="AU22" s="13"/>
      <c r="AV22" s="21"/>
      <c r="AW22" s="13">
        <v>17.2</v>
      </c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>
        <v>40</v>
      </c>
      <c r="BK22" s="13"/>
      <c r="BL22" s="13"/>
      <c r="BM22" s="13">
        <f t="shared" si="15"/>
        <v>0</v>
      </c>
      <c r="BN22" s="22">
        <f t="shared" si="16"/>
        <v>40</v>
      </c>
      <c r="BO22" s="23" t="str">
        <f t="shared" si="17"/>
        <v>ok</v>
      </c>
      <c r="BP22" s="22">
        <f t="shared" si="18"/>
        <v>40.5</v>
      </c>
      <c r="BQ22" s="22" t="str">
        <f t="shared" si="19"/>
        <v>ok</v>
      </c>
      <c r="BR22" s="56"/>
    </row>
    <row r="23" spans="1:70" s="12" customFormat="1" ht="24.95" customHeight="1" x14ac:dyDescent="0.25">
      <c r="A23" s="4" t="s">
        <v>63</v>
      </c>
      <c r="B23" s="15" t="s">
        <v>64</v>
      </c>
      <c r="C23" s="5">
        <v>70002</v>
      </c>
      <c r="D23" s="5" t="s">
        <v>728</v>
      </c>
      <c r="E23" s="16" t="s">
        <v>753</v>
      </c>
      <c r="F23" s="16">
        <v>2</v>
      </c>
      <c r="G23" s="16">
        <v>0</v>
      </c>
      <c r="H23" s="16">
        <v>0</v>
      </c>
      <c r="I23" s="16" t="s">
        <v>14</v>
      </c>
      <c r="J23" s="17"/>
      <c r="K23" s="17"/>
      <c r="L23" s="17"/>
      <c r="M23" s="17"/>
      <c r="N23" s="17"/>
      <c r="O23" s="13"/>
      <c r="P23" s="13"/>
      <c r="Q23" s="13">
        <v>11</v>
      </c>
      <c r="R23" s="13">
        <v>12</v>
      </c>
      <c r="S23" s="7">
        <v>0.2</v>
      </c>
      <c r="T23" s="62">
        <v>45</v>
      </c>
      <c r="U23" s="16">
        <v>32.4</v>
      </c>
      <c r="V23" s="16"/>
      <c r="W23" s="16">
        <v>108</v>
      </c>
      <c r="X23" s="18">
        <v>108</v>
      </c>
      <c r="Y23" s="16">
        <f t="shared" si="20"/>
        <v>0</v>
      </c>
      <c r="Z23" s="16">
        <f t="shared" si="21"/>
        <v>32.4</v>
      </c>
      <c r="AA23" s="4">
        <v>0</v>
      </c>
      <c r="AB23" s="4">
        <v>45</v>
      </c>
      <c r="AC23" s="4">
        <v>0</v>
      </c>
      <c r="AD23" s="4">
        <v>0</v>
      </c>
      <c r="AE23" s="19">
        <v>45</v>
      </c>
      <c r="AF23" s="13">
        <f t="shared" si="22"/>
        <v>2</v>
      </c>
      <c r="AG23" s="20">
        <f t="shared" si="14"/>
        <v>46031</v>
      </c>
      <c r="AH23" s="13"/>
      <c r="AI23" s="13"/>
      <c r="AJ23" s="13"/>
      <c r="AK23" s="13">
        <v>32.4</v>
      </c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21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>
        <f t="shared" si="15"/>
        <v>0</v>
      </c>
      <c r="BN23" s="22">
        <f t="shared" si="16"/>
        <v>32.4</v>
      </c>
      <c r="BO23" s="23" t="str">
        <f t="shared" si="17"/>
        <v>ok</v>
      </c>
      <c r="BP23" s="22">
        <f t="shared" si="18"/>
        <v>108</v>
      </c>
      <c r="BQ23" s="22" t="str">
        <f t="shared" si="19"/>
        <v>ok</v>
      </c>
      <c r="BR23" s="56"/>
    </row>
    <row r="24" spans="1:70" s="12" customFormat="1" ht="24.95" customHeight="1" x14ac:dyDescent="0.25">
      <c r="A24" s="4" t="s">
        <v>65</v>
      </c>
      <c r="B24" s="15" t="s">
        <v>66</v>
      </c>
      <c r="C24" s="5">
        <v>70002</v>
      </c>
      <c r="D24" s="5" t="s">
        <v>728</v>
      </c>
      <c r="E24" s="16" t="s">
        <v>754</v>
      </c>
      <c r="F24" s="16">
        <v>1</v>
      </c>
      <c r="G24" s="16">
        <v>0</v>
      </c>
      <c r="H24" s="16">
        <v>0</v>
      </c>
      <c r="I24" s="16" t="s">
        <v>14</v>
      </c>
      <c r="J24" s="17"/>
      <c r="K24" s="17"/>
      <c r="L24" s="17"/>
      <c r="M24" s="17"/>
      <c r="N24" s="17"/>
      <c r="O24" s="13"/>
      <c r="P24" s="13"/>
      <c r="Q24" s="13">
        <v>14</v>
      </c>
      <c r="R24" s="6">
        <v>29</v>
      </c>
      <c r="S24" s="7">
        <v>0.2</v>
      </c>
      <c r="T24" s="62">
        <v>45</v>
      </c>
      <c r="U24" s="16">
        <v>66.600000000000009</v>
      </c>
      <c r="V24" s="16"/>
      <c r="W24" s="16">
        <v>43.5</v>
      </c>
      <c r="X24" s="18">
        <v>43.5</v>
      </c>
      <c r="Y24" s="16">
        <f t="shared" si="20"/>
        <v>0</v>
      </c>
      <c r="Z24" s="16">
        <f t="shared" si="21"/>
        <v>66.599999999999994</v>
      </c>
      <c r="AA24" s="4">
        <v>0</v>
      </c>
      <c r="AB24" s="4">
        <v>0</v>
      </c>
      <c r="AC24" s="4">
        <v>0</v>
      </c>
      <c r="AD24" s="4">
        <v>0</v>
      </c>
      <c r="AE24" s="19">
        <v>0</v>
      </c>
      <c r="AF24" s="13">
        <f t="shared" si="22"/>
        <v>2</v>
      </c>
      <c r="AG24" s="20">
        <f t="shared" si="14"/>
        <v>46031</v>
      </c>
      <c r="AH24" s="13"/>
      <c r="AI24" s="13"/>
      <c r="AJ24" s="13">
        <v>22.6</v>
      </c>
      <c r="AK24" s="13"/>
      <c r="AL24" s="13"/>
      <c r="AM24" s="13"/>
      <c r="AN24" s="13"/>
      <c r="AO24" s="13"/>
      <c r="AP24" s="13"/>
      <c r="AQ24" s="13"/>
      <c r="AR24" s="13"/>
      <c r="AS24" s="13"/>
      <c r="AT24" s="26"/>
      <c r="AU24" s="26"/>
      <c r="AV24" s="75"/>
      <c r="AW24" s="26"/>
      <c r="AX24" s="26"/>
      <c r="AY24" s="13"/>
      <c r="AZ24" s="13"/>
      <c r="BA24" s="13"/>
      <c r="BB24" s="13"/>
      <c r="BC24" s="13"/>
      <c r="BD24" s="13"/>
      <c r="BE24" s="13">
        <v>44</v>
      </c>
      <c r="BF24" s="13"/>
      <c r="BG24" s="13"/>
      <c r="BH24" s="13"/>
      <c r="BI24" s="13"/>
      <c r="BJ24" s="13"/>
      <c r="BK24" s="13"/>
      <c r="BL24" s="13"/>
      <c r="BM24" s="13">
        <f t="shared" si="15"/>
        <v>1.4210854715202004E-14</v>
      </c>
      <c r="BN24" s="22">
        <f t="shared" si="16"/>
        <v>44</v>
      </c>
      <c r="BO24" s="23" t="str">
        <f t="shared" si="17"/>
        <v>ver</v>
      </c>
      <c r="BP24" s="22">
        <f t="shared" si="18"/>
        <v>43.5</v>
      </c>
      <c r="BQ24" s="22">
        <f t="shared" si="19"/>
        <v>44</v>
      </c>
      <c r="BR24" s="56"/>
    </row>
    <row r="25" spans="1:70" s="12" customFormat="1" ht="24.95" customHeight="1" x14ac:dyDescent="0.25">
      <c r="A25" s="4" t="s">
        <v>67</v>
      </c>
      <c r="B25" s="15" t="s">
        <v>68</v>
      </c>
      <c r="C25" s="5">
        <v>70002</v>
      </c>
      <c r="D25" s="5" t="s">
        <v>728</v>
      </c>
      <c r="E25" s="16" t="s">
        <v>755</v>
      </c>
      <c r="F25" s="16">
        <v>1</v>
      </c>
      <c r="G25" s="16">
        <v>0</v>
      </c>
      <c r="H25" s="16">
        <v>0</v>
      </c>
      <c r="I25" s="16" t="s">
        <v>14</v>
      </c>
      <c r="J25" s="17"/>
      <c r="K25" s="17"/>
      <c r="L25" s="17"/>
      <c r="M25" s="17"/>
      <c r="N25" s="17"/>
      <c r="O25" s="13"/>
      <c r="P25" s="13"/>
      <c r="Q25" s="13">
        <v>168</v>
      </c>
      <c r="R25" s="6">
        <v>21</v>
      </c>
      <c r="S25" s="7">
        <v>0.2</v>
      </c>
      <c r="T25" s="62">
        <v>45</v>
      </c>
      <c r="U25" s="16">
        <v>27</v>
      </c>
      <c r="V25" s="16"/>
      <c r="W25" s="16">
        <v>45</v>
      </c>
      <c r="X25" s="18">
        <v>45</v>
      </c>
      <c r="Y25" s="16">
        <f t="shared" si="20"/>
        <v>0</v>
      </c>
      <c r="Z25" s="16">
        <f t="shared" si="21"/>
        <v>27</v>
      </c>
      <c r="AA25" s="4">
        <v>0</v>
      </c>
      <c r="AB25" s="4">
        <v>0</v>
      </c>
      <c r="AC25" s="4">
        <v>0</v>
      </c>
      <c r="AD25" s="4">
        <v>0</v>
      </c>
      <c r="AE25" s="19">
        <v>0</v>
      </c>
      <c r="AF25" s="13">
        <f t="shared" si="22"/>
        <v>2</v>
      </c>
      <c r="AG25" s="20">
        <f t="shared" si="14"/>
        <v>46031</v>
      </c>
      <c r="AH25" s="13"/>
      <c r="AI25" s="13"/>
      <c r="AJ25" s="13"/>
      <c r="AK25" s="13"/>
      <c r="AL25" s="13"/>
      <c r="AM25" s="13"/>
      <c r="AN25" s="13"/>
      <c r="AO25" s="13"/>
      <c r="AP25" s="13">
        <v>27</v>
      </c>
      <c r="AQ25" s="13"/>
      <c r="AR25" s="13"/>
      <c r="AS25" s="13"/>
      <c r="AT25" s="13"/>
      <c r="AU25" s="13"/>
      <c r="AV25" s="21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>
        <f t="shared" si="15"/>
        <v>0</v>
      </c>
      <c r="BN25" s="22">
        <f t="shared" si="16"/>
        <v>27</v>
      </c>
      <c r="BO25" s="23" t="str">
        <f t="shared" si="17"/>
        <v>ok</v>
      </c>
      <c r="BP25" s="22">
        <f t="shared" si="18"/>
        <v>45</v>
      </c>
      <c r="BQ25" s="22" t="str">
        <f t="shared" si="19"/>
        <v>ok</v>
      </c>
      <c r="BR25" s="56"/>
    </row>
    <row r="26" spans="1:70" s="12" customFormat="1" ht="24.95" customHeight="1" x14ac:dyDescent="0.25">
      <c r="A26" s="4" t="s">
        <v>69</v>
      </c>
      <c r="B26" s="15" t="s">
        <v>70</v>
      </c>
      <c r="C26" s="5">
        <v>70002</v>
      </c>
      <c r="D26" s="5" t="s">
        <v>728</v>
      </c>
      <c r="E26" s="16" t="s">
        <v>756</v>
      </c>
      <c r="F26" s="16">
        <v>1</v>
      </c>
      <c r="G26" s="16">
        <v>0</v>
      </c>
      <c r="H26" s="16">
        <v>0</v>
      </c>
      <c r="I26" s="16" t="s">
        <v>14</v>
      </c>
      <c r="J26" s="17"/>
      <c r="K26" s="17"/>
      <c r="L26" s="17"/>
      <c r="M26" s="17"/>
      <c r="N26" s="17"/>
      <c r="O26" s="13"/>
      <c r="P26" s="13"/>
      <c r="Q26" s="13">
        <v>286</v>
      </c>
      <c r="R26" s="6">
        <v>14</v>
      </c>
      <c r="S26" s="7">
        <v>0.2</v>
      </c>
      <c r="T26" s="62">
        <v>45</v>
      </c>
      <c r="U26" s="16">
        <v>90</v>
      </c>
      <c r="V26" s="16"/>
      <c r="W26" s="16">
        <v>67.5</v>
      </c>
      <c r="X26" s="18">
        <v>67.5</v>
      </c>
      <c r="Y26" s="16">
        <f t="shared" si="20"/>
        <v>0</v>
      </c>
      <c r="Z26" s="16">
        <f t="shared" si="21"/>
        <v>90</v>
      </c>
      <c r="AA26" s="4">
        <v>45</v>
      </c>
      <c r="AB26" s="4">
        <v>0</v>
      </c>
      <c r="AC26" s="4">
        <v>0</v>
      </c>
      <c r="AD26" s="4">
        <v>45</v>
      </c>
      <c r="AE26" s="19">
        <v>90</v>
      </c>
      <c r="AF26" s="13">
        <f t="shared" si="22"/>
        <v>2</v>
      </c>
      <c r="AG26" s="20">
        <f t="shared" si="14"/>
        <v>46033</v>
      </c>
      <c r="AH26" s="24"/>
      <c r="AI26" s="24"/>
      <c r="AJ26" s="24">
        <v>45</v>
      </c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13"/>
      <c r="AZ26" s="13"/>
      <c r="BA26" s="13"/>
      <c r="BB26" s="13"/>
      <c r="BC26" s="13"/>
      <c r="BD26" s="13">
        <v>45</v>
      </c>
      <c r="BE26" s="13"/>
      <c r="BF26" s="13"/>
      <c r="BG26" s="13"/>
      <c r="BH26" s="13"/>
      <c r="BI26" s="13"/>
      <c r="BJ26" s="13"/>
      <c r="BK26" s="13"/>
      <c r="BL26" s="13"/>
      <c r="BM26" s="13">
        <f t="shared" si="15"/>
        <v>0</v>
      </c>
      <c r="BN26" s="22">
        <f t="shared" si="16"/>
        <v>45</v>
      </c>
      <c r="BO26" s="23" t="str">
        <f t="shared" si="17"/>
        <v>ok</v>
      </c>
      <c r="BP26" s="22">
        <f t="shared" si="18"/>
        <v>67.5</v>
      </c>
      <c r="BQ26" s="22" t="str">
        <f t="shared" si="19"/>
        <v>ok</v>
      </c>
      <c r="BR26" s="56"/>
    </row>
    <row r="27" spans="1:70" s="12" customFormat="1" ht="24.95" customHeight="1" x14ac:dyDescent="0.25">
      <c r="A27" s="4" t="s">
        <v>71</v>
      </c>
      <c r="B27" s="15" t="s">
        <v>72</v>
      </c>
      <c r="C27" s="5">
        <v>70002</v>
      </c>
      <c r="D27" s="5" t="s">
        <v>728</v>
      </c>
      <c r="E27" s="16" t="s">
        <v>757</v>
      </c>
      <c r="F27" s="16">
        <v>1</v>
      </c>
      <c r="G27" s="16">
        <v>0</v>
      </c>
      <c r="H27" s="16">
        <v>0</v>
      </c>
      <c r="I27" s="16" t="s">
        <v>14</v>
      </c>
      <c r="J27" s="17"/>
      <c r="K27" s="17"/>
      <c r="L27" s="17"/>
      <c r="M27" s="17"/>
      <c r="N27" s="17"/>
      <c r="O27" s="13"/>
      <c r="P27" s="13"/>
      <c r="Q27" s="13">
        <v>14</v>
      </c>
      <c r="R27" s="6">
        <v>14</v>
      </c>
      <c r="S27" s="7">
        <v>0.2</v>
      </c>
      <c r="T27" s="62">
        <v>45</v>
      </c>
      <c r="U27" s="16">
        <v>21.6</v>
      </c>
      <c r="V27" s="16"/>
      <c r="W27" s="16">
        <v>67.5</v>
      </c>
      <c r="X27" s="18">
        <v>67.5</v>
      </c>
      <c r="Y27" s="16">
        <f t="shared" si="20"/>
        <v>0</v>
      </c>
      <c r="Z27" s="16">
        <f t="shared" si="21"/>
        <v>21.6</v>
      </c>
      <c r="AA27" s="4">
        <v>0</v>
      </c>
      <c r="AB27" s="4">
        <v>0</v>
      </c>
      <c r="AC27" s="4">
        <v>0</v>
      </c>
      <c r="AD27" s="4">
        <v>0</v>
      </c>
      <c r="AE27" s="19">
        <v>0</v>
      </c>
      <c r="AF27" s="13">
        <f t="shared" si="22"/>
        <v>2</v>
      </c>
      <c r="AG27" s="20">
        <f t="shared" si="14"/>
        <v>46031</v>
      </c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21"/>
      <c r="AW27" s="13"/>
      <c r="AX27" s="13"/>
      <c r="AY27" s="13"/>
      <c r="AZ27" s="13"/>
      <c r="BA27" s="13"/>
      <c r="BB27" s="13"/>
      <c r="BC27" s="13"/>
      <c r="BD27" s="13">
        <v>21.6</v>
      </c>
      <c r="BE27" s="13"/>
      <c r="BF27" s="13"/>
      <c r="BG27" s="13"/>
      <c r="BH27" s="13"/>
      <c r="BI27" s="13"/>
      <c r="BJ27" s="13"/>
      <c r="BK27" s="13"/>
      <c r="BL27" s="13"/>
      <c r="BM27" s="13">
        <f t="shared" si="15"/>
        <v>0</v>
      </c>
      <c r="BN27" s="22">
        <f t="shared" si="16"/>
        <v>21.6</v>
      </c>
      <c r="BO27" s="23" t="str">
        <f t="shared" si="17"/>
        <v>ok</v>
      </c>
      <c r="BP27" s="22">
        <f t="shared" si="18"/>
        <v>67.5</v>
      </c>
      <c r="BQ27" s="22" t="str">
        <f t="shared" si="19"/>
        <v>ok</v>
      </c>
      <c r="BR27" s="56"/>
    </row>
    <row r="28" spans="1:70" s="12" customFormat="1" ht="24.95" customHeight="1" x14ac:dyDescent="0.25">
      <c r="A28" s="4" t="s">
        <v>73</v>
      </c>
      <c r="B28" s="15" t="s">
        <v>74</v>
      </c>
      <c r="C28" s="5">
        <v>70002</v>
      </c>
      <c r="D28" s="5" t="s">
        <v>728</v>
      </c>
      <c r="E28" s="16" t="s">
        <v>758</v>
      </c>
      <c r="F28" s="16">
        <v>1</v>
      </c>
      <c r="G28" s="16">
        <v>0</v>
      </c>
      <c r="H28" s="16">
        <v>0</v>
      </c>
      <c r="I28" s="16" t="s">
        <v>14</v>
      </c>
      <c r="J28" s="17"/>
      <c r="K28" s="17"/>
      <c r="L28" s="17"/>
      <c r="M28" s="17"/>
      <c r="N28" s="17"/>
      <c r="O28" s="13"/>
      <c r="P28" s="13"/>
      <c r="Q28" s="13">
        <v>23</v>
      </c>
      <c r="R28" s="6">
        <v>12</v>
      </c>
      <c r="S28" s="7">
        <v>0.2</v>
      </c>
      <c r="T28" s="62">
        <v>45</v>
      </c>
      <c r="U28" s="16">
        <v>102.60000000000001</v>
      </c>
      <c r="V28" s="16"/>
      <c r="W28" s="16">
        <v>97.5</v>
      </c>
      <c r="X28" s="18">
        <v>97.5</v>
      </c>
      <c r="Y28" s="16">
        <f t="shared" si="20"/>
        <v>0</v>
      </c>
      <c r="Z28" s="16">
        <f t="shared" si="21"/>
        <v>102.6</v>
      </c>
      <c r="AA28" s="4">
        <v>0</v>
      </c>
      <c r="AB28" s="4">
        <v>0</v>
      </c>
      <c r="AC28" s="4">
        <v>20</v>
      </c>
      <c r="AD28" s="4">
        <v>0</v>
      </c>
      <c r="AE28" s="19">
        <v>20</v>
      </c>
      <c r="AF28" s="13">
        <f t="shared" si="22"/>
        <v>2</v>
      </c>
      <c r="AG28" s="20">
        <f t="shared" si="14"/>
        <v>46032</v>
      </c>
      <c r="AH28" s="24"/>
      <c r="AI28" s="24"/>
      <c r="AJ28" s="24"/>
      <c r="AK28" s="24"/>
      <c r="AL28" s="24"/>
      <c r="AM28" s="24"/>
      <c r="AN28" s="24">
        <v>12.6</v>
      </c>
      <c r="AO28" s="24"/>
      <c r="AP28" s="24"/>
      <c r="AQ28" s="24"/>
      <c r="AR28" s="24"/>
      <c r="AS28" s="24"/>
      <c r="AT28" s="24"/>
      <c r="AU28" s="24"/>
      <c r="AV28" s="24">
        <v>45</v>
      </c>
      <c r="AW28" s="24"/>
      <c r="AX28" s="24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27"/>
      <c r="BJ28" s="13"/>
      <c r="BK28" s="13">
        <v>45</v>
      </c>
      <c r="BL28" s="13"/>
      <c r="BM28" s="13">
        <f t="shared" si="15"/>
        <v>45.000000000000007</v>
      </c>
      <c r="BN28" s="22">
        <f t="shared" si="16"/>
        <v>45</v>
      </c>
      <c r="BO28" s="23" t="str">
        <f t="shared" si="17"/>
        <v>ok</v>
      </c>
      <c r="BP28" s="22">
        <f t="shared" si="18"/>
        <v>97.5</v>
      </c>
      <c r="BQ28" s="22" t="str">
        <f t="shared" si="19"/>
        <v>ok</v>
      </c>
      <c r="BR28" s="56"/>
    </row>
    <row r="29" spans="1:70" s="12" customFormat="1" ht="24.95" customHeight="1" x14ac:dyDescent="0.25">
      <c r="A29" s="4" t="s">
        <v>75</v>
      </c>
      <c r="B29" s="15" t="s">
        <v>76</v>
      </c>
      <c r="C29" s="5">
        <v>70002</v>
      </c>
      <c r="D29" s="5" t="s">
        <v>728</v>
      </c>
      <c r="E29" s="16" t="s">
        <v>753</v>
      </c>
      <c r="F29" s="16">
        <v>2</v>
      </c>
      <c r="G29" s="16">
        <v>0</v>
      </c>
      <c r="H29" s="16">
        <v>0</v>
      </c>
      <c r="I29" s="16" t="s">
        <v>14</v>
      </c>
      <c r="J29" s="17"/>
      <c r="K29" s="17"/>
      <c r="L29" s="17"/>
      <c r="M29" s="17"/>
      <c r="N29" s="17"/>
      <c r="O29" s="13"/>
      <c r="P29" s="13"/>
      <c r="Q29" s="13">
        <v>63</v>
      </c>
      <c r="R29" s="6">
        <v>10</v>
      </c>
      <c r="S29" s="7">
        <v>0.2</v>
      </c>
      <c r="T29" s="62">
        <v>45</v>
      </c>
      <c r="U29" s="16">
        <v>104.4</v>
      </c>
      <c r="V29" s="16"/>
      <c r="W29" s="16">
        <v>108</v>
      </c>
      <c r="X29" s="18">
        <v>108</v>
      </c>
      <c r="Y29" s="16">
        <f t="shared" si="20"/>
        <v>0</v>
      </c>
      <c r="Z29" s="16">
        <f t="shared" si="21"/>
        <v>104.4</v>
      </c>
      <c r="AA29" s="4">
        <v>0</v>
      </c>
      <c r="AB29" s="4">
        <v>45</v>
      </c>
      <c r="AC29" s="4">
        <v>0</v>
      </c>
      <c r="AD29" s="4">
        <v>0</v>
      </c>
      <c r="AE29" s="19">
        <v>45</v>
      </c>
      <c r="AF29" s="13">
        <f t="shared" si="22"/>
        <v>2</v>
      </c>
      <c r="AG29" s="20">
        <f t="shared" si="14"/>
        <v>46031</v>
      </c>
      <c r="AH29" s="24"/>
      <c r="AI29" s="24">
        <v>14.4</v>
      </c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13"/>
      <c r="AZ29" s="13"/>
      <c r="BA29" s="13"/>
      <c r="BB29" s="13"/>
      <c r="BC29" s="13">
        <v>45</v>
      </c>
      <c r="BD29" s="13"/>
      <c r="BE29" s="13"/>
      <c r="BF29" s="13"/>
      <c r="BG29" s="13">
        <v>45</v>
      </c>
      <c r="BH29" s="13"/>
      <c r="BI29" s="13"/>
      <c r="BJ29" s="13"/>
      <c r="BK29" s="13"/>
      <c r="BL29" s="13"/>
      <c r="BM29" s="13">
        <f t="shared" si="15"/>
        <v>0</v>
      </c>
      <c r="BN29" s="22">
        <f t="shared" si="16"/>
        <v>45</v>
      </c>
      <c r="BO29" s="23" t="str">
        <f t="shared" si="17"/>
        <v>ok</v>
      </c>
      <c r="BP29" s="22">
        <f t="shared" si="18"/>
        <v>108</v>
      </c>
      <c r="BQ29" s="22" t="str">
        <f t="shared" si="19"/>
        <v>ok</v>
      </c>
      <c r="BR29" s="56"/>
    </row>
    <row r="30" spans="1:70" s="12" customFormat="1" ht="24.95" customHeight="1" x14ac:dyDescent="0.25">
      <c r="A30" s="4" t="s">
        <v>77</v>
      </c>
      <c r="B30" s="15" t="s">
        <v>78</v>
      </c>
      <c r="C30" s="5">
        <v>70002</v>
      </c>
      <c r="D30" s="5" t="s">
        <v>728</v>
      </c>
      <c r="E30" s="16" t="s">
        <v>759</v>
      </c>
      <c r="F30" s="16">
        <v>1</v>
      </c>
      <c r="G30" s="16">
        <v>0</v>
      </c>
      <c r="H30" s="16">
        <v>0</v>
      </c>
      <c r="I30" s="16" t="s">
        <v>14</v>
      </c>
      <c r="J30" s="17"/>
      <c r="K30" s="17"/>
      <c r="L30" s="17"/>
      <c r="M30" s="17"/>
      <c r="N30" s="17"/>
      <c r="O30" s="13"/>
      <c r="P30" s="13"/>
      <c r="Q30" s="13">
        <v>29</v>
      </c>
      <c r="R30" s="6">
        <v>9</v>
      </c>
      <c r="S30" s="7">
        <v>0.2</v>
      </c>
      <c r="T30" s="62">
        <v>45</v>
      </c>
      <c r="U30" s="16">
        <v>34.200000000000003</v>
      </c>
      <c r="V30" s="16"/>
      <c r="W30" s="16">
        <v>43.5</v>
      </c>
      <c r="X30" s="18">
        <v>43.5</v>
      </c>
      <c r="Y30" s="16">
        <f t="shared" si="20"/>
        <v>0</v>
      </c>
      <c r="Z30" s="16">
        <f t="shared" si="21"/>
        <v>34.200000000000003</v>
      </c>
      <c r="AA30" s="4">
        <v>0</v>
      </c>
      <c r="AB30" s="4">
        <v>0</v>
      </c>
      <c r="AC30" s="4">
        <v>0</v>
      </c>
      <c r="AD30" s="4">
        <v>0</v>
      </c>
      <c r="AE30" s="19">
        <v>0</v>
      </c>
      <c r="AF30" s="13">
        <f t="shared" si="22"/>
        <v>2</v>
      </c>
      <c r="AG30" s="20">
        <f t="shared" si="14"/>
        <v>46031</v>
      </c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21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>
        <v>34.200000000000003</v>
      </c>
      <c r="BK30" s="13"/>
      <c r="BL30" s="13"/>
      <c r="BM30" s="13">
        <f t="shared" si="15"/>
        <v>0</v>
      </c>
      <c r="BN30" s="22">
        <f t="shared" si="16"/>
        <v>34.200000000000003</v>
      </c>
      <c r="BO30" s="23" t="str">
        <f t="shared" si="17"/>
        <v>ok</v>
      </c>
      <c r="BP30" s="22">
        <f t="shared" si="18"/>
        <v>43.5</v>
      </c>
      <c r="BQ30" s="22" t="str">
        <f t="shared" si="19"/>
        <v>ok</v>
      </c>
      <c r="BR30" s="56"/>
    </row>
    <row r="31" spans="1:70" s="12" customFormat="1" ht="24.95" customHeight="1" x14ac:dyDescent="0.25">
      <c r="A31" s="4" t="s">
        <v>79</v>
      </c>
      <c r="B31" s="15" t="s">
        <v>80</v>
      </c>
      <c r="C31" s="5">
        <v>70002</v>
      </c>
      <c r="D31" s="5" t="s">
        <v>728</v>
      </c>
      <c r="E31" s="16" t="s">
        <v>760</v>
      </c>
      <c r="F31" s="16">
        <v>1</v>
      </c>
      <c r="G31" s="16">
        <v>0</v>
      </c>
      <c r="H31" s="16">
        <v>0</v>
      </c>
      <c r="I31" s="16" t="s">
        <v>14</v>
      </c>
      <c r="J31" s="17"/>
      <c r="K31" s="17"/>
      <c r="L31" s="17"/>
      <c r="M31" s="17"/>
      <c r="N31" s="17"/>
      <c r="O31" s="13"/>
      <c r="P31" s="13"/>
      <c r="Q31" s="13">
        <v>20</v>
      </c>
      <c r="R31" s="6">
        <v>9</v>
      </c>
      <c r="S31" s="7">
        <v>0.2</v>
      </c>
      <c r="T31" s="62">
        <v>45</v>
      </c>
      <c r="U31" s="16">
        <v>405</v>
      </c>
      <c r="V31" s="16"/>
      <c r="W31" s="16">
        <v>150</v>
      </c>
      <c r="X31" s="18">
        <v>150</v>
      </c>
      <c r="Y31" s="16">
        <f t="shared" si="20"/>
        <v>0</v>
      </c>
      <c r="Z31" s="16">
        <f t="shared" si="21"/>
        <v>405</v>
      </c>
      <c r="AA31" s="4">
        <v>0</v>
      </c>
      <c r="AB31" s="4">
        <v>0</v>
      </c>
      <c r="AC31" s="4">
        <v>55</v>
      </c>
      <c r="AD31" s="4">
        <v>0</v>
      </c>
      <c r="AE31" s="19">
        <v>55</v>
      </c>
      <c r="AF31" s="13">
        <f t="shared" si="22"/>
        <v>2</v>
      </c>
      <c r="AG31" s="20">
        <f t="shared" si="14"/>
        <v>46032</v>
      </c>
      <c r="AH31" s="13">
        <v>45</v>
      </c>
      <c r="AI31" s="13"/>
      <c r="AJ31" s="13"/>
      <c r="AK31" s="13"/>
      <c r="AL31" s="13"/>
      <c r="AM31" s="13"/>
      <c r="AN31" s="13">
        <v>45</v>
      </c>
      <c r="AO31" s="13"/>
      <c r="AP31" s="13">
        <v>45</v>
      </c>
      <c r="AQ31" s="13"/>
      <c r="AR31" s="13">
        <v>45</v>
      </c>
      <c r="AS31" s="13"/>
      <c r="AT31" s="13"/>
      <c r="AU31" s="13"/>
      <c r="AV31" s="13"/>
      <c r="AW31" s="13">
        <v>45</v>
      </c>
      <c r="AX31" s="13">
        <v>45</v>
      </c>
      <c r="AY31" s="13"/>
      <c r="AZ31" s="13"/>
      <c r="BA31" s="13">
        <v>45</v>
      </c>
      <c r="BB31" s="13"/>
      <c r="BC31" s="13"/>
      <c r="BD31" s="13"/>
      <c r="BE31" s="13"/>
      <c r="BF31" s="13"/>
      <c r="BG31" s="13"/>
      <c r="BH31" s="13">
        <v>45</v>
      </c>
      <c r="BI31" s="13"/>
      <c r="BJ31" s="13">
        <v>45</v>
      </c>
      <c r="BK31" s="13"/>
      <c r="BL31" s="13"/>
      <c r="BM31" s="13">
        <f t="shared" si="15"/>
        <v>0</v>
      </c>
      <c r="BN31" s="22">
        <f t="shared" si="16"/>
        <v>45</v>
      </c>
      <c r="BO31" s="23" t="str">
        <f t="shared" si="17"/>
        <v>ok</v>
      </c>
      <c r="BP31" s="22">
        <f t="shared" si="18"/>
        <v>150</v>
      </c>
      <c r="BQ31" s="22" t="str">
        <f t="shared" si="19"/>
        <v>ok</v>
      </c>
      <c r="BR31" s="56"/>
    </row>
    <row r="32" spans="1:70" s="12" customFormat="1" ht="24.95" customHeight="1" x14ac:dyDescent="0.25">
      <c r="A32" s="4" t="s">
        <v>81</v>
      </c>
      <c r="B32" s="15" t="s">
        <v>82</v>
      </c>
      <c r="C32" s="5">
        <v>70002</v>
      </c>
      <c r="D32" s="5" t="s">
        <v>728</v>
      </c>
      <c r="E32" s="16" t="s">
        <v>761</v>
      </c>
      <c r="F32" s="16">
        <v>1</v>
      </c>
      <c r="G32" s="16">
        <v>0</v>
      </c>
      <c r="H32" s="16">
        <v>0</v>
      </c>
      <c r="I32" s="16" t="s">
        <v>14</v>
      </c>
      <c r="J32" s="17"/>
      <c r="K32" s="17"/>
      <c r="L32" s="17"/>
      <c r="M32" s="17"/>
      <c r="N32" s="17"/>
      <c r="O32" s="13"/>
      <c r="P32" s="13"/>
      <c r="Q32" s="13">
        <v>17</v>
      </c>
      <c r="R32" s="6">
        <v>10</v>
      </c>
      <c r="S32" s="7">
        <v>0.2</v>
      </c>
      <c r="T32" s="62">
        <v>45</v>
      </c>
      <c r="U32" s="16">
        <v>72</v>
      </c>
      <c r="V32" s="16"/>
      <c r="W32" s="16">
        <v>30</v>
      </c>
      <c r="X32" s="18">
        <v>30</v>
      </c>
      <c r="Y32" s="16">
        <f t="shared" si="20"/>
        <v>0</v>
      </c>
      <c r="Z32" s="16">
        <f t="shared" si="21"/>
        <v>72</v>
      </c>
      <c r="AA32" s="4">
        <v>0</v>
      </c>
      <c r="AB32" s="4">
        <v>0</v>
      </c>
      <c r="AC32" s="4">
        <v>0</v>
      </c>
      <c r="AD32" s="4">
        <v>0</v>
      </c>
      <c r="AE32" s="19">
        <v>0</v>
      </c>
      <c r="AF32" s="13">
        <f t="shared" si="22"/>
        <v>2</v>
      </c>
      <c r="AG32" s="20">
        <f t="shared" si="14"/>
        <v>46031</v>
      </c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21"/>
      <c r="AW32" s="13"/>
      <c r="AX32" s="13">
        <v>12</v>
      </c>
      <c r="AY32" s="13"/>
      <c r="AZ32" s="13"/>
      <c r="BA32" s="13">
        <v>30</v>
      </c>
      <c r="BB32" s="13"/>
      <c r="BC32" s="13"/>
      <c r="BD32" s="13"/>
      <c r="BE32" s="13"/>
      <c r="BF32" s="13"/>
      <c r="BG32" s="13"/>
      <c r="BH32" s="13">
        <v>30</v>
      </c>
      <c r="BI32" s="13"/>
      <c r="BJ32" s="13"/>
      <c r="BK32" s="13"/>
      <c r="BL32" s="13"/>
      <c r="BM32" s="13">
        <f t="shared" si="15"/>
        <v>0</v>
      </c>
      <c r="BN32" s="22">
        <f t="shared" si="16"/>
        <v>30</v>
      </c>
      <c r="BO32" s="23" t="str">
        <f t="shared" si="17"/>
        <v>ok</v>
      </c>
      <c r="BP32" s="22">
        <f t="shared" si="18"/>
        <v>30</v>
      </c>
      <c r="BQ32" s="22" t="str">
        <f t="shared" si="19"/>
        <v>ok</v>
      </c>
      <c r="BR32" s="56"/>
    </row>
    <row r="33" spans="1:70" s="12" customFormat="1" ht="24.95" customHeight="1" x14ac:dyDescent="0.25">
      <c r="A33" s="4" t="s">
        <v>83</v>
      </c>
      <c r="B33" s="15" t="s">
        <v>84</v>
      </c>
      <c r="C33" s="5">
        <v>70002</v>
      </c>
      <c r="D33" s="5" t="s">
        <v>728</v>
      </c>
      <c r="E33" s="16" t="s">
        <v>762</v>
      </c>
      <c r="F33" s="16">
        <v>1</v>
      </c>
      <c r="G33" s="16">
        <v>0</v>
      </c>
      <c r="H33" s="16">
        <v>0</v>
      </c>
      <c r="I33" s="16" t="s">
        <v>14</v>
      </c>
      <c r="J33" s="17"/>
      <c r="K33" s="17"/>
      <c r="L33" s="17"/>
      <c r="M33" s="17"/>
      <c r="N33" s="17"/>
      <c r="O33" s="13"/>
      <c r="P33" s="13"/>
      <c r="Q33" s="13">
        <v>29</v>
      </c>
      <c r="R33" s="6">
        <v>25</v>
      </c>
      <c r="S33" s="7">
        <v>0.2</v>
      </c>
      <c r="T33" s="62">
        <v>45</v>
      </c>
      <c r="U33" s="16">
        <v>177.3</v>
      </c>
      <c r="V33" s="16"/>
      <c r="W33" s="16">
        <v>132</v>
      </c>
      <c r="X33" s="18">
        <v>132</v>
      </c>
      <c r="Y33" s="16">
        <f t="shared" si="20"/>
        <v>0</v>
      </c>
      <c r="Z33" s="16">
        <f t="shared" si="21"/>
        <v>177.3</v>
      </c>
      <c r="AA33" s="4">
        <v>45</v>
      </c>
      <c r="AB33" s="4">
        <v>35</v>
      </c>
      <c r="AC33" s="4">
        <v>0</v>
      </c>
      <c r="AD33" s="4">
        <v>45</v>
      </c>
      <c r="AE33" s="19">
        <v>125</v>
      </c>
      <c r="AF33" s="13">
        <f t="shared" si="22"/>
        <v>2</v>
      </c>
      <c r="AG33" s="20">
        <f t="shared" si="14"/>
        <v>46033</v>
      </c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>
        <v>45</v>
      </c>
      <c r="AS33" s="13"/>
      <c r="AT33" s="13"/>
      <c r="AU33" s="13"/>
      <c r="AV33" s="21"/>
      <c r="AW33" s="13"/>
      <c r="AX33" s="13"/>
      <c r="AY33" s="13">
        <v>45</v>
      </c>
      <c r="AZ33" s="13">
        <v>42.3</v>
      </c>
      <c r="BA33" s="13"/>
      <c r="BB33" s="13"/>
      <c r="BC33" s="13"/>
      <c r="BD33" s="13"/>
      <c r="BE33" s="13">
        <v>45</v>
      </c>
      <c r="BF33" s="13"/>
      <c r="BG33" s="13"/>
      <c r="BH33" s="13"/>
      <c r="BI33" s="13"/>
      <c r="BJ33" s="13"/>
      <c r="BK33" s="13"/>
      <c r="BL33" s="13"/>
      <c r="BM33" s="13">
        <f t="shared" si="15"/>
        <v>0</v>
      </c>
      <c r="BN33" s="22">
        <f t="shared" si="16"/>
        <v>45</v>
      </c>
      <c r="BO33" s="23" t="str">
        <f t="shared" si="17"/>
        <v>ok</v>
      </c>
      <c r="BP33" s="22">
        <f t="shared" si="18"/>
        <v>132</v>
      </c>
      <c r="BQ33" s="22" t="str">
        <f t="shared" si="19"/>
        <v>ok</v>
      </c>
      <c r="BR33" s="56"/>
    </row>
    <row r="34" spans="1:70" s="12" customFormat="1" ht="24.95" customHeight="1" x14ac:dyDescent="0.25">
      <c r="A34" s="4" t="s">
        <v>85</v>
      </c>
      <c r="B34" s="15" t="s">
        <v>86</v>
      </c>
      <c r="C34" s="5">
        <v>70002</v>
      </c>
      <c r="D34" s="5" t="s">
        <v>728</v>
      </c>
      <c r="E34" s="16" t="s">
        <v>763</v>
      </c>
      <c r="F34" s="16">
        <v>1</v>
      </c>
      <c r="G34" s="16">
        <v>0</v>
      </c>
      <c r="H34" s="16">
        <v>0</v>
      </c>
      <c r="I34" s="16" t="s">
        <v>14</v>
      </c>
      <c r="J34" s="17"/>
      <c r="K34" s="17"/>
      <c r="L34" s="17"/>
      <c r="M34" s="17"/>
      <c r="N34" s="17"/>
      <c r="O34" s="13"/>
      <c r="P34" s="13"/>
      <c r="Q34" s="13">
        <v>16</v>
      </c>
      <c r="R34" s="6">
        <v>8</v>
      </c>
      <c r="S34" s="7">
        <v>0.2</v>
      </c>
      <c r="T34" s="62">
        <v>45</v>
      </c>
      <c r="U34" s="16">
        <v>54.9</v>
      </c>
      <c r="V34" s="16"/>
      <c r="W34" s="16">
        <v>34.5</v>
      </c>
      <c r="X34" s="18">
        <v>34.5</v>
      </c>
      <c r="Y34" s="16">
        <f t="shared" si="20"/>
        <v>0</v>
      </c>
      <c r="Z34" s="16">
        <f t="shared" si="21"/>
        <v>54.9</v>
      </c>
      <c r="AA34" s="4">
        <v>0</v>
      </c>
      <c r="AB34" s="4">
        <v>0</v>
      </c>
      <c r="AC34" s="4">
        <v>0</v>
      </c>
      <c r="AD34" s="4">
        <v>0</v>
      </c>
      <c r="AE34" s="19">
        <v>0</v>
      </c>
      <c r="AF34" s="13">
        <f t="shared" si="22"/>
        <v>2</v>
      </c>
      <c r="AG34" s="20">
        <f t="shared" si="14"/>
        <v>46031</v>
      </c>
      <c r="AH34" s="13"/>
      <c r="AI34" s="13"/>
      <c r="AJ34" s="13"/>
      <c r="AK34" s="13"/>
      <c r="AL34" s="13">
        <v>20.9</v>
      </c>
      <c r="AM34" s="13"/>
      <c r="AN34" s="13"/>
      <c r="AO34" s="13"/>
      <c r="AP34" s="13"/>
      <c r="AQ34" s="13"/>
      <c r="AR34" s="13"/>
      <c r="AS34" s="13"/>
      <c r="AT34" s="13"/>
      <c r="AU34" s="13"/>
      <c r="AV34" s="21">
        <v>34</v>
      </c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>
        <f t="shared" si="15"/>
        <v>0</v>
      </c>
      <c r="BN34" s="22">
        <f t="shared" si="16"/>
        <v>34</v>
      </c>
      <c r="BO34" s="23" t="str">
        <f t="shared" si="17"/>
        <v>ok</v>
      </c>
      <c r="BP34" s="22">
        <f t="shared" si="18"/>
        <v>34.5</v>
      </c>
      <c r="BQ34" s="22" t="str">
        <f t="shared" si="19"/>
        <v>ok</v>
      </c>
      <c r="BR34" s="56"/>
    </row>
    <row r="35" spans="1:70" s="12" customFormat="1" ht="24.95" customHeight="1" x14ac:dyDescent="0.25">
      <c r="A35" s="4" t="s">
        <v>87</v>
      </c>
      <c r="B35" s="15" t="s">
        <v>88</v>
      </c>
      <c r="C35" s="5">
        <v>70002</v>
      </c>
      <c r="D35" s="5" t="s">
        <v>728</v>
      </c>
      <c r="E35" s="16" t="s">
        <v>764</v>
      </c>
      <c r="F35" s="16">
        <v>1</v>
      </c>
      <c r="G35" s="16">
        <v>0</v>
      </c>
      <c r="H35" s="16">
        <v>0</v>
      </c>
      <c r="I35" s="16" t="s">
        <v>14</v>
      </c>
      <c r="J35" s="17"/>
      <c r="K35" s="17"/>
      <c r="L35" s="17"/>
      <c r="M35" s="17"/>
      <c r="N35" s="17"/>
      <c r="O35" s="13"/>
      <c r="P35" s="13"/>
      <c r="Q35" s="13">
        <v>25</v>
      </c>
      <c r="R35" s="6">
        <v>8</v>
      </c>
      <c r="S35" s="7">
        <v>0.2</v>
      </c>
      <c r="T35" s="62">
        <v>45</v>
      </c>
      <c r="U35" s="16">
        <v>202.5</v>
      </c>
      <c r="V35" s="16"/>
      <c r="W35" s="16">
        <v>144</v>
      </c>
      <c r="X35" s="18">
        <v>144</v>
      </c>
      <c r="Y35" s="16">
        <f t="shared" si="20"/>
        <v>0</v>
      </c>
      <c r="Z35" s="16">
        <f t="shared" si="21"/>
        <v>202.5</v>
      </c>
      <c r="AA35" s="4">
        <v>0</v>
      </c>
      <c r="AB35" s="4">
        <v>0</v>
      </c>
      <c r="AC35" s="4">
        <v>0</v>
      </c>
      <c r="AD35" s="4">
        <v>0</v>
      </c>
      <c r="AE35" s="19">
        <v>0</v>
      </c>
      <c r="AF35" s="13">
        <f t="shared" si="22"/>
        <v>2</v>
      </c>
      <c r="AG35" s="20">
        <f t="shared" si="14"/>
        <v>46031</v>
      </c>
      <c r="AH35" s="13"/>
      <c r="AI35" s="13"/>
      <c r="AJ35" s="13"/>
      <c r="AK35" s="13">
        <v>45</v>
      </c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21"/>
      <c r="AW35" s="13">
        <v>45</v>
      </c>
      <c r="AX35" s="13"/>
      <c r="AY35" s="13"/>
      <c r="AZ35" s="13"/>
      <c r="BA35" s="13"/>
      <c r="BB35" s="13"/>
      <c r="BC35" s="13"/>
      <c r="BD35" s="13"/>
      <c r="BE35" s="13"/>
      <c r="BF35" s="13"/>
      <c r="BG35" s="13">
        <v>22.5</v>
      </c>
      <c r="BH35" s="13"/>
      <c r="BI35" s="13">
        <v>45</v>
      </c>
      <c r="BJ35" s="13"/>
      <c r="BK35" s="13">
        <v>45</v>
      </c>
      <c r="BL35" s="13"/>
      <c r="BM35" s="13">
        <f t="shared" si="15"/>
        <v>45</v>
      </c>
      <c r="BN35" s="22">
        <f t="shared" si="16"/>
        <v>45</v>
      </c>
      <c r="BO35" s="23" t="str">
        <f t="shared" si="17"/>
        <v>ok</v>
      </c>
      <c r="BP35" s="22">
        <f t="shared" si="18"/>
        <v>144</v>
      </c>
      <c r="BQ35" s="22" t="str">
        <f t="shared" si="19"/>
        <v>ok</v>
      </c>
      <c r="BR35" s="56"/>
    </row>
    <row r="36" spans="1:70" s="12" customFormat="1" ht="24.95" customHeight="1" x14ac:dyDescent="0.25">
      <c r="A36" s="4" t="s">
        <v>89</v>
      </c>
      <c r="B36" s="15" t="s">
        <v>90</v>
      </c>
      <c r="C36" s="5">
        <v>70002</v>
      </c>
      <c r="D36" s="5" t="s">
        <v>728</v>
      </c>
      <c r="E36" s="16" t="s">
        <v>765</v>
      </c>
      <c r="F36" s="16">
        <v>1</v>
      </c>
      <c r="G36" s="16">
        <v>0</v>
      </c>
      <c r="H36" s="16">
        <v>0</v>
      </c>
      <c r="I36" s="16" t="s">
        <v>14</v>
      </c>
      <c r="J36" s="17"/>
      <c r="K36" s="17"/>
      <c r="L36" s="17"/>
      <c r="M36" s="17"/>
      <c r="N36" s="17"/>
      <c r="O36" s="13"/>
      <c r="P36" s="13"/>
      <c r="Q36" s="13">
        <v>11</v>
      </c>
      <c r="R36" s="6">
        <v>9</v>
      </c>
      <c r="S36" s="7">
        <v>0.2</v>
      </c>
      <c r="T36" s="62">
        <v>33</v>
      </c>
      <c r="U36" s="16">
        <v>15.3</v>
      </c>
      <c r="V36" s="16"/>
      <c r="W36" s="16">
        <v>28.5</v>
      </c>
      <c r="X36" s="18">
        <v>28.5</v>
      </c>
      <c r="Y36" s="16">
        <f t="shared" si="20"/>
        <v>0</v>
      </c>
      <c r="Z36" s="16">
        <f t="shared" si="21"/>
        <v>15.3</v>
      </c>
      <c r="AA36" s="4">
        <v>0</v>
      </c>
      <c r="AB36" s="4">
        <v>0</v>
      </c>
      <c r="AC36" s="4">
        <v>0</v>
      </c>
      <c r="AD36" s="4">
        <v>0</v>
      </c>
      <c r="AE36" s="19">
        <v>0</v>
      </c>
      <c r="AF36" s="13">
        <f t="shared" si="22"/>
        <v>2</v>
      </c>
      <c r="AG36" s="20">
        <f t="shared" si="14"/>
        <v>46031</v>
      </c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>
        <v>15.3</v>
      </c>
      <c r="AX36" s="24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>
        <f t="shared" si="15"/>
        <v>0</v>
      </c>
      <c r="BN36" s="22">
        <f t="shared" si="16"/>
        <v>15.3</v>
      </c>
      <c r="BO36" s="23" t="str">
        <f t="shared" si="17"/>
        <v>ok</v>
      </c>
      <c r="BP36" s="22">
        <f t="shared" si="18"/>
        <v>28.5</v>
      </c>
      <c r="BQ36" s="22" t="str">
        <f t="shared" si="19"/>
        <v>ok</v>
      </c>
      <c r="BR36" s="56"/>
    </row>
    <row r="37" spans="1:70" s="12" customFormat="1" ht="24.95" customHeight="1" x14ac:dyDescent="0.25">
      <c r="A37" s="4" t="s">
        <v>91</v>
      </c>
      <c r="B37" s="15" t="s">
        <v>92</v>
      </c>
      <c r="C37" s="5">
        <v>70002</v>
      </c>
      <c r="D37" s="5" t="s">
        <v>728</v>
      </c>
      <c r="E37" s="16" t="s">
        <v>766</v>
      </c>
      <c r="F37" s="16">
        <v>1</v>
      </c>
      <c r="G37" s="16">
        <v>0</v>
      </c>
      <c r="H37" s="16">
        <v>0</v>
      </c>
      <c r="I37" s="16" t="s">
        <v>14</v>
      </c>
      <c r="J37" s="17"/>
      <c r="K37" s="17"/>
      <c r="L37" s="17"/>
      <c r="M37" s="17"/>
      <c r="N37" s="17"/>
      <c r="O37" s="13"/>
      <c r="P37" s="13"/>
      <c r="Q37" s="13">
        <v>35</v>
      </c>
      <c r="R37" s="6">
        <v>58</v>
      </c>
      <c r="S37" s="7">
        <v>0.2</v>
      </c>
      <c r="T37" s="62">
        <v>45</v>
      </c>
      <c r="U37" s="16">
        <v>519.30000000000007</v>
      </c>
      <c r="V37" s="16"/>
      <c r="W37" s="16">
        <v>123</v>
      </c>
      <c r="X37" s="18">
        <v>123</v>
      </c>
      <c r="Y37" s="16">
        <f t="shared" si="20"/>
        <v>0</v>
      </c>
      <c r="Z37" s="16">
        <f t="shared" si="21"/>
        <v>519.29999999999995</v>
      </c>
      <c r="AA37" s="4">
        <v>24</v>
      </c>
      <c r="AB37" s="4">
        <v>0</v>
      </c>
      <c r="AC37" s="4">
        <v>0</v>
      </c>
      <c r="AD37" s="4">
        <v>0</v>
      </c>
      <c r="AE37" s="19">
        <v>24</v>
      </c>
      <c r="AF37" s="13">
        <f t="shared" si="22"/>
        <v>2</v>
      </c>
      <c r="AG37" s="20">
        <f t="shared" si="14"/>
        <v>46031</v>
      </c>
      <c r="AH37" s="13">
        <v>45</v>
      </c>
      <c r="AI37" s="13"/>
      <c r="AJ37" s="13"/>
      <c r="AK37" s="13">
        <v>45</v>
      </c>
      <c r="AL37" s="13">
        <v>36.299999999999997</v>
      </c>
      <c r="AM37" s="13"/>
      <c r="AN37" s="13"/>
      <c r="AO37" s="13"/>
      <c r="AP37" s="13">
        <v>45</v>
      </c>
      <c r="AQ37" s="13">
        <v>45</v>
      </c>
      <c r="AR37" s="13"/>
      <c r="AS37" s="13"/>
      <c r="AT37" s="13">
        <v>45</v>
      </c>
      <c r="AU37" s="13"/>
      <c r="AV37" s="21"/>
      <c r="AW37" s="13"/>
      <c r="AX37" s="13"/>
      <c r="AY37" s="13">
        <v>45</v>
      </c>
      <c r="AZ37" s="13"/>
      <c r="BA37" s="13">
        <v>45</v>
      </c>
      <c r="BB37" s="13">
        <v>45</v>
      </c>
      <c r="BC37" s="13">
        <v>33</v>
      </c>
      <c r="BD37" s="13"/>
      <c r="BE37" s="13">
        <v>45</v>
      </c>
      <c r="BF37" s="13"/>
      <c r="BG37" s="13"/>
      <c r="BH37" s="13"/>
      <c r="BI37" s="13"/>
      <c r="BJ37" s="13"/>
      <c r="BK37" s="13">
        <v>45</v>
      </c>
      <c r="BL37" s="13"/>
      <c r="BM37" s="13">
        <f t="shared" si="15"/>
        <v>45.000000000000057</v>
      </c>
      <c r="BN37" s="22">
        <f t="shared" si="16"/>
        <v>45</v>
      </c>
      <c r="BO37" s="23" t="str">
        <f t="shared" si="17"/>
        <v>ok</v>
      </c>
      <c r="BP37" s="22">
        <f t="shared" si="18"/>
        <v>123</v>
      </c>
      <c r="BQ37" s="22" t="str">
        <f t="shared" si="19"/>
        <v>ok</v>
      </c>
      <c r="BR37" s="56"/>
    </row>
    <row r="38" spans="1:70" s="12" customFormat="1" ht="24.95" customHeight="1" x14ac:dyDescent="0.25">
      <c r="A38" s="4" t="s">
        <v>93</v>
      </c>
      <c r="B38" s="15" t="s">
        <v>94</v>
      </c>
      <c r="C38" s="5">
        <v>70002</v>
      </c>
      <c r="D38" s="5" t="s">
        <v>728</v>
      </c>
      <c r="E38" s="16" t="s">
        <v>767</v>
      </c>
      <c r="F38" s="16">
        <v>1</v>
      </c>
      <c r="G38" s="16">
        <v>0</v>
      </c>
      <c r="H38" s="16">
        <v>0</v>
      </c>
      <c r="I38" s="16" t="s">
        <v>14</v>
      </c>
      <c r="J38" s="17"/>
      <c r="K38" s="17"/>
      <c r="L38" s="17"/>
      <c r="M38" s="17"/>
      <c r="N38" s="17"/>
      <c r="O38" s="13"/>
      <c r="P38" s="13"/>
      <c r="Q38" s="13">
        <v>11</v>
      </c>
      <c r="R38" s="6">
        <v>79</v>
      </c>
      <c r="S38" s="7">
        <v>0.2</v>
      </c>
      <c r="T38" s="62">
        <v>45</v>
      </c>
      <c r="U38" s="16">
        <v>144.9</v>
      </c>
      <c r="V38" s="16"/>
      <c r="W38" s="16">
        <v>124.5</v>
      </c>
      <c r="X38" s="18">
        <v>124.5</v>
      </c>
      <c r="Y38" s="16">
        <f t="shared" si="20"/>
        <v>-9.9000000000000057</v>
      </c>
      <c r="Z38" s="16">
        <f t="shared" si="21"/>
        <v>135</v>
      </c>
      <c r="AA38" s="4">
        <v>0</v>
      </c>
      <c r="AB38" s="4">
        <v>0</v>
      </c>
      <c r="AC38" s="4">
        <v>45</v>
      </c>
      <c r="AD38" s="4">
        <v>30</v>
      </c>
      <c r="AE38" s="19">
        <v>75</v>
      </c>
      <c r="AF38" s="13">
        <f t="shared" si="22"/>
        <v>2</v>
      </c>
      <c r="AG38" s="20">
        <f t="shared" si="14"/>
        <v>46033</v>
      </c>
      <c r="AH38" s="13"/>
      <c r="AI38" s="13"/>
      <c r="AJ38" s="13"/>
      <c r="AK38" s="13">
        <v>45</v>
      </c>
      <c r="AL38" s="13">
        <v>45</v>
      </c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>
        <v>45</v>
      </c>
      <c r="BJ38" s="13"/>
      <c r="BK38" s="13"/>
      <c r="BL38" s="13"/>
      <c r="BM38" s="13">
        <f t="shared" si="15"/>
        <v>9.9000000000000057</v>
      </c>
      <c r="BN38" s="22">
        <f t="shared" si="16"/>
        <v>45</v>
      </c>
      <c r="BO38" s="23" t="str">
        <f t="shared" si="17"/>
        <v>ok</v>
      </c>
      <c r="BP38" s="22">
        <f t="shared" si="18"/>
        <v>124.5</v>
      </c>
      <c r="BQ38" s="22" t="str">
        <f t="shared" si="19"/>
        <v>ok</v>
      </c>
      <c r="BR38" s="56" t="s">
        <v>28</v>
      </c>
    </row>
    <row r="39" spans="1:70" s="12" customFormat="1" ht="24.95" customHeight="1" x14ac:dyDescent="0.25">
      <c r="A39" s="4" t="s">
        <v>95</v>
      </c>
      <c r="B39" s="15" t="s">
        <v>96</v>
      </c>
      <c r="C39" s="5">
        <v>70002</v>
      </c>
      <c r="D39" s="5" t="s">
        <v>728</v>
      </c>
      <c r="E39" s="16" t="s">
        <v>768</v>
      </c>
      <c r="F39" s="16">
        <v>1</v>
      </c>
      <c r="G39" s="16">
        <v>0</v>
      </c>
      <c r="H39" s="16">
        <v>0</v>
      </c>
      <c r="I39" s="16" t="s">
        <v>14</v>
      </c>
      <c r="J39" s="17"/>
      <c r="K39" s="17"/>
      <c r="L39" s="17"/>
      <c r="M39" s="17"/>
      <c r="N39" s="17"/>
      <c r="O39" s="13"/>
      <c r="P39" s="13"/>
      <c r="Q39" s="13">
        <v>51</v>
      </c>
      <c r="R39" s="6">
        <v>65</v>
      </c>
      <c r="S39" s="7">
        <v>0.2</v>
      </c>
      <c r="T39" s="62">
        <v>33</v>
      </c>
      <c r="U39" s="16">
        <v>196.20000000000002</v>
      </c>
      <c r="V39" s="16"/>
      <c r="W39" s="16">
        <v>108</v>
      </c>
      <c r="X39" s="18">
        <v>108</v>
      </c>
      <c r="Y39" s="16">
        <f t="shared" si="20"/>
        <v>0</v>
      </c>
      <c r="Z39" s="16">
        <f t="shared" si="21"/>
        <v>196.2</v>
      </c>
      <c r="AA39" s="4">
        <v>0</v>
      </c>
      <c r="AB39" s="4">
        <v>33</v>
      </c>
      <c r="AC39" s="4">
        <v>0</v>
      </c>
      <c r="AD39" s="4">
        <v>0</v>
      </c>
      <c r="AE39" s="19">
        <v>33</v>
      </c>
      <c r="AF39" s="13">
        <f t="shared" si="22"/>
        <v>2</v>
      </c>
      <c r="AG39" s="20">
        <f t="shared" si="14"/>
        <v>46031</v>
      </c>
      <c r="AH39" s="13"/>
      <c r="AI39" s="13">
        <v>33</v>
      </c>
      <c r="AJ39" s="13">
        <v>33</v>
      </c>
      <c r="AK39" s="13"/>
      <c r="AL39" s="13"/>
      <c r="AM39" s="13"/>
      <c r="AN39" s="13"/>
      <c r="AO39" s="13">
        <v>33</v>
      </c>
      <c r="AP39" s="13"/>
      <c r="AQ39" s="13"/>
      <c r="AR39" s="13"/>
      <c r="AS39" s="13">
        <v>33</v>
      </c>
      <c r="AT39" s="13"/>
      <c r="AU39" s="13"/>
      <c r="AV39" s="21"/>
      <c r="AW39" s="13"/>
      <c r="AX39" s="13"/>
      <c r="AY39" s="13"/>
      <c r="AZ39" s="13"/>
      <c r="BA39" s="13"/>
      <c r="BB39" s="13"/>
      <c r="BC39" s="13">
        <v>33</v>
      </c>
      <c r="BD39" s="13"/>
      <c r="BE39" s="13"/>
      <c r="BF39" s="13"/>
      <c r="BG39" s="13"/>
      <c r="BH39" s="13">
        <v>31.2</v>
      </c>
      <c r="BI39" s="13"/>
      <c r="BJ39" s="13"/>
      <c r="BK39" s="13"/>
      <c r="BL39" s="13"/>
      <c r="BM39" s="13">
        <f t="shared" si="15"/>
        <v>2.8421709430404007E-14</v>
      </c>
      <c r="BN39" s="22">
        <f t="shared" si="16"/>
        <v>33</v>
      </c>
      <c r="BO39" s="23" t="str">
        <f t="shared" si="17"/>
        <v>ok</v>
      </c>
      <c r="BP39" s="22">
        <f t="shared" si="18"/>
        <v>108</v>
      </c>
      <c r="BQ39" s="22" t="str">
        <f t="shared" si="19"/>
        <v>ok</v>
      </c>
      <c r="BR39" s="56"/>
    </row>
    <row r="40" spans="1:70" s="12" customFormat="1" ht="24.95" customHeight="1" x14ac:dyDescent="0.25">
      <c r="A40" s="4" t="s">
        <v>97</v>
      </c>
      <c r="B40" s="15" t="s">
        <v>98</v>
      </c>
      <c r="C40" s="5">
        <v>70002</v>
      </c>
      <c r="D40" s="5" t="s">
        <v>728</v>
      </c>
      <c r="E40" s="16" t="s">
        <v>769</v>
      </c>
      <c r="F40" s="16">
        <v>1</v>
      </c>
      <c r="G40" s="16">
        <v>0</v>
      </c>
      <c r="H40" s="16">
        <v>0</v>
      </c>
      <c r="I40" s="16" t="s">
        <v>14</v>
      </c>
      <c r="J40" s="17"/>
      <c r="K40" s="17"/>
      <c r="L40" s="17"/>
      <c r="M40" s="17"/>
      <c r="N40" s="17"/>
      <c r="O40" s="13"/>
      <c r="P40" s="13"/>
      <c r="Q40" s="13">
        <v>11</v>
      </c>
      <c r="R40" s="6">
        <v>82</v>
      </c>
      <c r="S40" s="7">
        <v>0.2</v>
      </c>
      <c r="T40" s="62">
        <v>33</v>
      </c>
      <c r="U40" s="16">
        <v>40.5</v>
      </c>
      <c r="V40" s="16"/>
      <c r="W40" s="16">
        <v>78</v>
      </c>
      <c r="X40" s="18">
        <v>78</v>
      </c>
      <c r="Y40" s="16">
        <f t="shared" si="20"/>
        <v>-7.5</v>
      </c>
      <c r="Z40" s="16">
        <f t="shared" si="21"/>
        <v>33</v>
      </c>
      <c r="AA40" s="4">
        <v>0</v>
      </c>
      <c r="AB40" s="4">
        <v>0</v>
      </c>
      <c r="AC40" s="4">
        <v>0</v>
      </c>
      <c r="AD40" s="4">
        <v>0</v>
      </c>
      <c r="AE40" s="19">
        <v>0</v>
      </c>
      <c r="AF40" s="13">
        <f t="shared" si="22"/>
        <v>2</v>
      </c>
      <c r="AG40" s="20">
        <f t="shared" si="14"/>
        <v>46031</v>
      </c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21"/>
      <c r="AW40" s="13"/>
      <c r="AX40" s="13"/>
      <c r="AY40" s="13"/>
      <c r="AZ40" s="13"/>
      <c r="BA40" s="13"/>
      <c r="BB40" s="13"/>
      <c r="BC40" s="13"/>
      <c r="BD40" s="13">
        <v>33</v>
      </c>
      <c r="BE40" s="13"/>
      <c r="BF40" s="13"/>
      <c r="BG40" s="13"/>
      <c r="BH40" s="13"/>
      <c r="BI40" s="13"/>
      <c r="BJ40" s="13"/>
      <c r="BK40" s="13"/>
      <c r="BL40" s="13"/>
      <c r="BM40" s="13">
        <f t="shared" si="15"/>
        <v>7.5</v>
      </c>
      <c r="BN40" s="22">
        <f t="shared" si="16"/>
        <v>33</v>
      </c>
      <c r="BO40" s="23" t="str">
        <f t="shared" si="17"/>
        <v>ok</v>
      </c>
      <c r="BP40" s="22">
        <f t="shared" si="18"/>
        <v>78</v>
      </c>
      <c r="BQ40" s="22" t="str">
        <f t="shared" si="19"/>
        <v>ok</v>
      </c>
      <c r="BR40" s="56" t="s">
        <v>28</v>
      </c>
    </row>
    <row r="41" spans="1:70" s="12" customFormat="1" ht="24.95" customHeight="1" x14ac:dyDescent="0.25">
      <c r="A41" s="4" t="s">
        <v>99</v>
      </c>
      <c r="B41" s="15" t="s">
        <v>100</v>
      </c>
      <c r="C41" s="5">
        <v>70002</v>
      </c>
      <c r="D41" s="5" t="s">
        <v>728</v>
      </c>
      <c r="E41" s="16" t="s">
        <v>770</v>
      </c>
      <c r="F41" s="16">
        <v>1</v>
      </c>
      <c r="G41" s="16">
        <v>0</v>
      </c>
      <c r="H41" s="16">
        <v>0</v>
      </c>
      <c r="I41" s="16" t="s">
        <v>14</v>
      </c>
      <c r="J41" s="17"/>
      <c r="K41" s="17"/>
      <c r="L41" s="17"/>
      <c r="M41" s="17"/>
      <c r="N41" s="17"/>
      <c r="O41" s="13"/>
      <c r="P41" s="13"/>
      <c r="Q41" s="13">
        <v>48</v>
      </c>
      <c r="R41" s="6">
        <v>23</v>
      </c>
      <c r="S41" s="7">
        <v>0.2</v>
      </c>
      <c r="T41" s="62">
        <v>33</v>
      </c>
      <c r="U41" s="16">
        <v>27</v>
      </c>
      <c r="V41" s="16"/>
      <c r="W41" s="16">
        <v>37.5</v>
      </c>
      <c r="X41" s="18">
        <v>37.5</v>
      </c>
      <c r="Y41" s="16">
        <f t="shared" si="20"/>
        <v>0</v>
      </c>
      <c r="Z41" s="16">
        <f t="shared" si="21"/>
        <v>27</v>
      </c>
      <c r="AA41" s="4">
        <v>0</v>
      </c>
      <c r="AB41" s="4">
        <v>21</v>
      </c>
      <c r="AC41" s="4">
        <v>0</v>
      </c>
      <c r="AD41" s="4">
        <v>0</v>
      </c>
      <c r="AE41" s="19">
        <v>21</v>
      </c>
      <c r="AF41" s="13">
        <f t="shared" si="22"/>
        <v>2</v>
      </c>
      <c r="AG41" s="20">
        <f t="shared" si="14"/>
        <v>46031</v>
      </c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13"/>
      <c r="AZ41" s="13"/>
      <c r="BA41" s="13"/>
      <c r="BB41" s="13"/>
      <c r="BC41" s="13">
        <v>27</v>
      </c>
      <c r="BD41" s="13"/>
      <c r="BE41" s="13"/>
      <c r="BF41" s="13"/>
      <c r="BG41" s="13"/>
      <c r="BH41" s="13"/>
      <c r="BI41" s="13"/>
      <c r="BJ41" s="13"/>
      <c r="BK41" s="13"/>
      <c r="BL41" s="13"/>
      <c r="BM41" s="13">
        <f t="shared" si="15"/>
        <v>0</v>
      </c>
      <c r="BN41" s="22">
        <f t="shared" si="16"/>
        <v>27</v>
      </c>
      <c r="BO41" s="23" t="str">
        <f t="shared" si="17"/>
        <v>ok</v>
      </c>
      <c r="BP41" s="22">
        <f t="shared" si="18"/>
        <v>37.5</v>
      </c>
      <c r="BQ41" s="22" t="str">
        <f t="shared" si="19"/>
        <v>ok</v>
      </c>
      <c r="BR41" s="56"/>
    </row>
    <row r="42" spans="1:70" s="12" customFormat="1" ht="24.95" customHeight="1" x14ac:dyDescent="0.25">
      <c r="A42" s="4" t="s">
        <v>101</v>
      </c>
      <c r="B42" s="15" t="s">
        <v>102</v>
      </c>
      <c r="C42" s="5">
        <v>70002</v>
      </c>
      <c r="D42" s="5" t="s">
        <v>728</v>
      </c>
      <c r="E42" s="16" t="s">
        <v>771</v>
      </c>
      <c r="F42" s="16">
        <v>1</v>
      </c>
      <c r="G42" s="16">
        <v>0</v>
      </c>
      <c r="H42" s="16">
        <v>0</v>
      </c>
      <c r="I42" s="16" t="s">
        <v>14</v>
      </c>
      <c r="J42" s="17"/>
      <c r="K42" s="17"/>
      <c r="L42" s="17"/>
      <c r="M42" s="17"/>
      <c r="N42" s="17"/>
      <c r="O42" s="13"/>
      <c r="P42" s="13"/>
      <c r="Q42" s="13">
        <v>12</v>
      </c>
      <c r="R42" s="6">
        <v>86</v>
      </c>
      <c r="S42" s="7">
        <v>0.2</v>
      </c>
      <c r="T42" s="62">
        <v>33</v>
      </c>
      <c r="U42" s="16">
        <v>69.3</v>
      </c>
      <c r="V42" s="16"/>
      <c r="W42" s="16">
        <v>72</v>
      </c>
      <c r="X42" s="18">
        <v>72</v>
      </c>
      <c r="Y42" s="16">
        <f t="shared" si="20"/>
        <v>-3.2999999999999972</v>
      </c>
      <c r="Z42" s="16">
        <f t="shared" si="21"/>
        <v>66</v>
      </c>
      <c r="AA42" s="4">
        <v>0</v>
      </c>
      <c r="AB42" s="4">
        <v>17</v>
      </c>
      <c r="AC42" s="4">
        <v>0</v>
      </c>
      <c r="AD42" s="4">
        <v>0</v>
      </c>
      <c r="AE42" s="19">
        <v>17</v>
      </c>
      <c r="AF42" s="13">
        <f t="shared" si="22"/>
        <v>2</v>
      </c>
      <c r="AG42" s="20">
        <f t="shared" si="14"/>
        <v>46031</v>
      </c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>
        <v>33</v>
      </c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>
        <v>33</v>
      </c>
      <c r="BJ42" s="13"/>
      <c r="BK42" s="13"/>
      <c r="BL42" s="13"/>
      <c r="BM42" s="13">
        <f t="shared" si="15"/>
        <v>3.2999999999999972</v>
      </c>
      <c r="BN42" s="22">
        <f t="shared" si="16"/>
        <v>33</v>
      </c>
      <c r="BO42" s="23" t="str">
        <f t="shared" si="17"/>
        <v>ok</v>
      </c>
      <c r="BP42" s="22">
        <f t="shared" si="18"/>
        <v>72</v>
      </c>
      <c r="BQ42" s="22" t="str">
        <f t="shared" si="19"/>
        <v>ok</v>
      </c>
      <c r="BR42" s="56" t="s">
        <v>28</v>
      </c>
    </row>
    <row r="43" spans="1:70" s="12" customFormat="1" ht="24.95" customHeight="1" x14ac:dyDescent="0.25">
      <c r="A43" s="4" t="s">
        <v>103</v>
      </c>
      <c r="B43" s="15" t="s">
        <v>104</v>
      </c>
      <c r="C43" s="5">
        <v>70003</v>
      </c>
      <c r="D43" s="5" t="s">
        <v>729</v>
      </c>
      <c r="E43" s="16" t="s">
        <v>772</v>
      </c>
      <c r="F43" s="16">
        <v>2</v>
      </c>
      <c r="G43" s="16">
        <v>1</v>
      </c>
      <c r="H43" s="16">
        <v>0</v>
      </c>
      <c r="I43" s="16" t="s">
        <v>14</v>
      </c>
      <c r="J43" s="17"/>
      <c r="K43" s="17"/>
      <c r="L43" s="17"/>
      <c r="M43" s="17"/>
      <c r="N43" s="17"/>
      <c r="O43" s="13"/>
      <c r="P43" s="13"/>
      <c r="Q43" s="13">
        <v>33</v>
      </c>
      <c r="R43" s="6">
        <v>9</v>
      </c>
      <c r="S43" s="7">
        <v>0.2</v>
      </c>
      <c r="T43" s="62">
        <v>45</v>
      </c>
      <c r="U43" s="16">
        <v>23.400000000000002</v>
      </c>
      <c r="V43" s="16"/>
      <c r="W43" s="16">
        <v>99</v>
      </c>
      <c r="X43" s="18">
        <v>99</v>
      </c>
      <c r="Y43" s="16">
        <f t="shared" si="20"/>
        <v>0</v>
      </c>
      <c r="Z43" s="16">
        <f t="shared" si="21"/>
        <v>23.4</v>
      </c>
      <c r="AA43" s="4">
        <v>0</v>
      </c>
      <c r="AB43" s="4">
        <v>0</v>
      </c>
      <c r="AC43" s="4">
        <v>0</v>
      </c>
      <c r="AD43" s="4">
        <v>0</v>
      </c>
      <c r="AE43" s="19">
        <v>0</v>
      </c>
      <c r="AF43" s="13">
        <f t="shared" si="22"/>
        <v>2</v>
      </c>
      <c r="AG43" s="20">
        <f t="shared" si="14"/>
        <v>46031</v>
      </c>
      <c r="AH43" s="13"/>
      <c r="AI43" s="13"/>
      <c r="AJ43" s="13"/>
      <c r="AK43" s="13"/>
      <c r="AL43" s="13"/>
      <c r="AM43" s="13"/>
      <c r="AN43" s="13"/>
      <c r="AO43" s="13">
        <v>23.4</v>
      </c>
      <c r="AP43" s="13"/>
      <c r="AQ43" s="13"/>
      <c r="AR43" s="13"/>
      <c r="AS43" s="13"/>
      <c r="AT43" s="13"/>
      <c r="AU43" s="13"/>
      <c r="AV43" s="21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>
        <f t="shared" si="15"/>
        <v>3.5527136788005009E-15</v>
      </c>
      <c r="BN43" s="22">
        <f t="shared" si="16"/>
        <v>23.4</v>
      </c>
      <c r="BO43" s="23" t="str">
        <f t="shared" si="17"/>
        <v>ok</v>
      </c>
      <c r="BP43" s="22">
        <f t="shared" si="18"/>
        <v>99</v>
      </c>
      <c r="BQ43" s="22" t="str">
        <f t="shared" si="19"/>
        <v>ok</v>
      </c>
      <c r="BR43" s="56"/>
    </row>
    <row r="44" spans="1:70" s="12" customFormat="1" ht="24.95" customHeight="1" x14ac:dyDescent="0.25">
      <c r="A44" s="4" t="s">
        <v>105</v>
      </c>
      <c r="B44" s="15" t="s">
        <v>106</v>
      </c>
      <c r="C44" s="5">
        <v>70003</v>
      </c>
      <c r="D44" s="5" t="s">
        <v>729</v>
      </c>
      <c r="E44" s="16" t="s">
        <v>773</v>
      </c>
      <c r="F44" s="16">
        <v>1</v>
      </c>
      <c r="G44" s="16">
        <v>0</v>
      </c>
      <c r="H44" s="16">
        <v>0</v>
      </c>
      <c r="I44" s="16" t="s">
        <v>14</v>
      </c>
      <c r="J44" s="17"/>
      <c r="K44" s="17"/>
      <c r="L44" s="17"/>
      <c r="M44" s="17"/>
      <c r="N44" s="17"/>
      <c r="O44" s="13"/>
      <c r="P44" s="13"/>
      <c r="Q44" s="13">
        <v>20</v>
      </c>
      <c r="R44" s="6">
        <v>10</v>
      </c>
      <c r="S44" s="7">
        <v>0.2</v>
      </c>
      <c r="T44" s="62">
        <v>45</v>
      </c>
      <c r="U44" s="16">
        <v>21.6</v>
      </c>
      <c r="V44" s="16"/>
      <c r="W44" s="16">
        <v>60</v>
      </c>
      <c r="X44" s="18">
        <v>60</v>
      </c>
      <c r="Y44" s="16">
        <f t="shared" si="20"/>
        <v>0</v>
      </c>
      <c r="Z44" s="16">
        <f t="shared" si="21"/>
        <v>21.6</v>
      </c>
      <c r="AA44" s="4">
        <v>0</v>
      </c>
      <c r="AB44" s="4">
        <v>0</v>
      </c>
      <c r="AC44" s="4">
        <v>0</v>
      </c>
      <c r="AD44" s="4">
        <v>0</v>
      </c>
      <c r="AE44" s="19">
        <v>0</v>
      </c>
      <c r="AF44" s="13">
        <f t="shared" si="22"/>
        <v>2</v>
      </c>
      <c r="AG44" s="20">
        <f t="shared" si="14"/>
        <v>46031</v>
      </c>
      <c r="AH44" s="24"/>
      <c r="AI44" s="24"/>
      <c r="AJ44" s="24"/>
      <c r="AK44" s="24"/>
      <c r="AL44" s="24"/>
      <c r="AM44" s="24">
        <v>21.6</v>
      </c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>
        <f t="shared" si="15"/>
        <v>0</v>
      </c>
      <c r="BN44" s="22">
        <f t="shared" si="16"/>
        <v>21.6</v>
      </c>
      <c r="BO44" s="23" t="str">
        <f t="shared" si="17"/>
        <v>ok</v>
      </c>
      <c r="BP44" s="22">
        <f t="shared" si="18"/>
        <v>60</v>
      </c>
      <c r="BQ44" s="22" t="str">
        <f t="shared" si="19"/>
        <v>ok</v>
      </c>
      <c r="BR44" s="56"/>
    </row>
    <row r="45" spans="1:70" s="12" customFormat="1" ht="24.95" customHeight="1" x14ac:dyDescent="0.25">
      <c r="A45" s="4" t="s">
        <v>107</v>
      </c>
      <c r="B45" s="15" t="s">
        <v>108</v>
      </c>
      <c r="C45" s="5">
        <v>70003</v>
      </c>
      <c r="D45" s="5" t="s">
        <v>729</v>
      </c>
      <c r="E45" s="16" t="s">
        <v>774</v>
      </c>
      <c r="F45" s="16">
        <v>2</v>
      </c>
      <c r="G45" s="16">
        <v>1</v>
      </c>
      <c r="H45" s="16">
        <v>0</v>
      </c>
      <c r="I45" s="16" t="s">
        <v>14</v>
      </c>
      <c r="J45" s="17"/>
      <c r="K45" s="17"/>
      <c r="L45" s="17"/>
      <c r="M45" s="17"/>
      <c r="N45" s="17"/>
      <c r="O45" s="13"/>
      <c r="P45" s="13"/>
      <c r="Q45" s="13">
        <v>37</v>
      </c>
      <c r="R45" s="6">
        <v>61</v>
      </c>
      <c r="S45" s="7">
        <v>0.2</v>
      </c>
      <c r="T45" s="62">
        <v>33</v>
      </c>
      <c r="U45" s="16">
        <v>18</v>
      </c>
      <c r="V45" s="16"/>
      <c r="W45" s="16">
        <v>171</v>
      </c>
      <c r="X45" s="18">
        <v>171</v>
      </c>
      <c r="Y45" s="16">
        <f t="shared" si="20"/>
        <v>0</v>
      </c>
      <c r="Z45" s="16">
        <f t="shared" si="21"/>
        <v>18</v>
      </c>
      <c r="AA45" s="4">
        <v>0</v>
      </c>
      <c r="AB45" s="4">
        <v>0</v>
      </c>
      <c r="AC45" s="4">
        <v>10</v>
      </c>
      <c r="AD45" s="4">
        <v>0</v>
      </c>
      <c r="AE45" s="19">
        <v>10</v>
      </c>
      <c r="AF45" s="13">
        <f t="shared" si="22"/>
        <v>2</v>
      </c>
      <c r="AG45" s="20">
        <f t="shared" si="14"/>
        <v>46032</v>
      </c>
      <c r="AH45" s="24"/>
      <c r="AI45" s="24"/>
      <c r="AJ45" s="24">
        <v>18</v>
      </c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>
        <f t="shared" si="15"/>
        <v>0</v>
      </c>
      <c r="BN45" s="22">
        <f t="shared" si="16"/>
        <v>18</v>
      </c>
      <c r="BO45" s="23" t="str">
        <f t="shared" si="17"/>
        <v>ok</v>
      </c>
      <c r="BP45" s="22">
        <f t="shared" si="18"/>
        <v>171</v>
      </c>
      <c r="BQ45" s="22" t="str">
        <f t="shared" si="19"/>
        <v>ok</v>
      </c>
      <c r="BR45" s="56"/>
    </row>
    <row r="46" spans="1:70" s="12" customFormat="1" ht="24.95" customHeight="1" x14ac:dyDescent="0.25">
      <c r="A46" s="4" t="s">
        <v>109</v>
      </c>
      <c r="B46" s="15" t="s">
        <v>110</v>
      </c>
      <c r="C46" s="5">
        <v>70003</v>
      </c>
      <c r="D46" s="5" t="s">
        <v>729</v>
      </c>
      <c r="E46" s="16" t="s">
        <v>775</v>
      </c>
      <c r="F46" s="16">
        <v>1</v>
      </c>
      <c r="G46" s="16">
        <v>0</v>
      </c>
      <c r="H46" s="16">
        <v>0</v>
      </c>
      <c r="I46" s="16" t="s">
        <v>14</v>
      </c>
      <c r="J46" s="17"/>
      <c r="K46" s="17"/>
      <c r="L46" s="17"/>
      <c r="M46" s="17"/>
      <c r="N46" s="17"/>
      <c r="O46" s="13"/>
      <c r="P46" s="13"/>
      <c r="Q46" s="13">
        <v>11</v>
      </c>
      <c r="R46" s="6">
        <v>10</v>
      </c>
      <c r="S46" s="7">
        <v>0.2</v>
      </c>
      <c r="T46" s="62">
        <v>33</v>
      </c>
      <c r="U46" s="16">
        <v>129.6</v>
      </c>
      <c r="V46" s="16"/>
      <c r="W46" s="16">
        <v>69</v>
      </c>
      <c r="X46" s="18">
        <v>69</v>
      </c>
      <c r="Y46" s="16">
        <f t="shared" si="20"/>
        <v>0</v>
      </c>
      <c r="Z46" s="16">
        <f t="shared" si="21"/>
        <v>129.6</v>
      </c>
      <c r="AA46" s="4">
        <v>0</v>
      </c>
      <c r="AB46" s="4">
        <v>0</v>
      </c>
      <c r="AC46" s="4">
        <v>0</v>
      </c>
      <c r="AD46" s="4">
        <v>0</v>
      </c>
      <c r="AE46" s="19">
        <v>0</v>
      </c>
      <c r="AF46" s="13">
        <f t="shared" si="22"/>
        <v>2</v>
      </c>
      <c r="AG46" s="20">
        <f t="shared" si="14"/>
        <v>46031</v>
      </c>
      <c r="AH46" s="13"/>
      <c r="AI46" s="13"/>
      <c r="AJ46" s="13"/>
      <c r="AK46" s="13"/>
      <c r="AL46" s="13"/>
      <c r="AM46" s="13"/>
      <c r="AN46" s="13"/>
      <c r="AO46" s="13"/>
      <c r="AP46" s="13">
        <v>30.6</v>
      </c>
      <c r="AQ46" s="13"/>
      <c r="AR46" s="13"/>
      <c r="AS46" s="13"/>
      <c r="AT46" s="13"/>
      <c r="AU46" s="13"/>
      <c r="AV46" s="21"/>
      <c r="AW46" s="13">
        <v>33</v>
      </c>
      <c r="AX46" s="13"/>
      <c r="AY46" s="13"/>
      <c r="AZ46" s="13"/>
      <c r="BA46" s="13"/>
      <c r="BB46" s="13"/>
      <c r="BC46" s="13"/>
      <c r="BD46" s="13"/>
      <c r="BE46" s="13"/>
      <c r="BF46" s="13">
        <v>33</v>
      </c>
      <c r="BG46" s="13"/>
      <c r="BH46" s="13"/>
      <c r="BI46" s="13"/>
      <c r="BJ46" s="13"/>
      <c r="BK46" s="13"/>
      <c r="BL46" s="13">
        <v>33</v>
      </c>
      <c r="BM46" s="13">
        <f t="shared" si="15"/>
        <v>33</v>
      </c>
      <c r="BN46" s="22">
        <f t="shared" si="16"/>
        <v>33</v>
      </c>
      <c r="BO46" s="23" t="str">
        <f t="shared" si="17"/>
        <v>ok</v>
      </c>
      <c r="BP46" s="22">
        <f t="shared" si="18"/>
        <v>69</v>
      </c>
      <c r="BQ46" s="22" t="str">
        <f t="shared" si="19"/>
        <v>ok</v>
      </c>
      <c r="BR46" s="56"/>
    </row>
    <row r="47" spans="1:70" s="12" customFormat="1" ht="24.95" customHeight="1" x14ac:dyDescent="0.25">
      <c r="A47" s="4" t="s">
        <v>111</v>
      </c>
      <c r="B47" s="15" t="s">
        <v>112</v>
      </c>
      <c r="C47" s="5">
        <v>70003</v>
      </c>
      <c r="D47" s="5" t="s">
        <v>729</v>
      </c>
      <c r="E47" s="16" t="s">
        <v>776</v>
      </c>
      <c r="F47" s="16">
        <v>2</v>
      </c>
      <c r="G47" s="16">
        <v>0</v>
      </c>
      <c r="H47" s="16">
        <v>0</v>
      </c>
      <c r="I47" s="16" t="s">
        <v>14</v>
      </c>
      <c r="J47" s="17"/>
      <c r="K47" s="17"/>
      <c r="L47" s="17"/>
      <c r="M47" s="17"/>
      <c r="N47" s="17"/>
      <c r="O47" s="13"/>
      <c r="P47" s="13"/>
      <c r="Q47" s="13">
        <v>24</v>
      </c>
      <c r="R47" s="13">
        <v>117</v>
      </c>
      <c r="S47" s="7">
        <v>0.2</v>
      </c>
      <c r="T47" s="62">
        <v>33</v>
      </c>
      <c r="U47" s="16">
        <v>40.5</v>
      </c>
      <c r="V47" s="16"/>
      <c r="W47" s="16">
        <v>94.5</v>
      </c>
      <c r="X47" s="18">
        <v>94.5</v>
      </c>
      <c r="Y47" s="16">
        <f t="shared" si="20"/>
        <v>-7.5</v>
      </c>
      <c r="Z47" s="16">
        <f t="shared" si="21"/>
        <v>33</v>
      </c>
      <c r="AA47" s="4">
        <v>0</v>
      </c>
      <c r="AB47" s="4">
        <v>43</v>
      </c>
      <c r="AC47" s="4">
        <v>0</v>
      </c>
      <c r="AD47" s="4">
        <v>0</v>
      </c>
      <c r="AE47" s="28">
        <v>43</v>
      </c>
      <c r="AF47" s="13">
        <f t="shared" si="22"/>
        <v>2</v>
      </c>
      <c r="AG47" s="20">
        <f t="shared" si="14"/>
        <v>46031</v>
      </c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21"/>
      <c r="AW47" s="13"/>
      <c r="AX47" s="13"/>
      <c r="AY47" s="13">
        <v>33</v>
      </c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>
        <f t="shared" si="15"/>
        <v>7.5</v>
      </c>
      <c r="BN47" s="22">
        <f t="shared" si="16"/>
        <v>33</v>
      </c>
      <c r="BO47" s="23" t="str">
        <f t="shared" si="17"/>
        <v>ok</v>
      </c>
      <c r="BP47" s="22">
        <f t="shared" si="18"/>
        <v>94.5</v>
      </c>
      <c r="BQ47" s="22" t="str">
        <f t="shared" si="19"/>
        <v>ok</v>
      </c>
      <c r="BR47" s="56" t="s">
        <v>28</v>
      </c>
    </row>
    <row r="48" spans="1:70" s="12" customFormat="1" ht="24.95" customHeight="1" x14ac:dyDescent="0.25">
      <c r="A48" s="4" t="s">
        <v>113</v>
      </c>
      <c r="B48" s="15" t="s">
        <v>114</v>
      </c>
      <c r="C48" s="5">
        <v>70004</v>
      </c>
      <c r="D48" s="5" t="s">
        <v>729</v>
      </c>
      <c r="E48" s="16" t="s">
        <v>777</v>
      </c>
      <c r="F48" s="16">
        <v>1</v>
      </c>
      <c r="G48" s="16">
        <v>0</v>
      </c>
      <c r="H48" s="16">
        <v>0</v>
      </c>
      <c r="I48" s="16" t="s">
        <v>15</v>
      </c>
      <c r="J48" s="17"/>
      <c r="K48" s="17"/>
      <c r="L48" s="17"/>
      <c r="M48" s="17"/>
      <c r="N48" s="17"/>
      <c r="O48" s="13"/>
      <c r="P48" s="13"/>
      <c r="Q48" s="13">
        <v>21</v>
      </c>
      <c r="R48" s="6">
        <v>14</v>
      </c>
      <c r="S48" s="7">
        <v>0.2</v>
      </c>
      <c r="T48" s="62">
        <v>33</v>
      </c>
      <c r="U48" s="16">
        <v>14.4</v>
      </c>
      <c r="V48" s="16"/>
      <c r="W48" s="16">
        <v>45</v>
      </c>
      <c r="X48" s="18">
        <v>45</v>
      </c>
      <c r="Y48" s="16">
        <f t="shared" si="20"/>
        <v>0</v>
      </c>
      <c r="Z48" s="16">
        <f t="shared" si="21"/>
        <v>14.4</v>
      </c>
      <c r="AA48" s="4">
        <v>0</v>
      </c>
      <c r="AB48" s="4">
        <v>0</v>
      </c>
      <c r="AC48" s="4">
        <v>0</v>
      </c>
      <c r="AD48" s="4">
        <v>0</v>
      </c>
      <c r="AE48" s="19">
        <v>0</v>
      </c>
      <c r="AF48" s="13">
        <f t="shared" si="22"/>
        <v>2</v>
      </c>
      <c r="AG48" s="20">
        <f t="shared" si="14"/>
        <v>46031</v>
      </c>
      <c r="AH48" s="13"/>
      <c r="AI48" s="13">
        <v>14.4</v>
      </c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21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>
        <f t="shared" si="15"/>
        <v>0</v>
      </c>
      <c r="BN48" s="22">
        <f t="shared" si="16"/>
        <v>14.4</v>
      </c>
      <c r="BO48" s="23" t="str">
        <f t="shared" si="17"/>
        <v>ok</v>
      </c>
      <c r="BP48" s="22">
        <f t="shared" si="18"/>
        <v>45</v>
      </c>
      <c r="BQ48" s="22" t="str">
        <f t="shared" si="19"/>
        <v>ok</v>
      </c>
      <c r="BR48" s="56"/>
    </row>
    <row r="49" spans="1:70" s="12" customFormat="1" ht="24.95" customHeight="1" x14ac:dyDescent="0.25">
      <c r="A49" s="4" t="s">
        <v>115</v>
      </c>
      <c r="B49" s="15" t="s">
        <v>116</v>
      </c>
      <c r="C49" s="5">
        <v>70004</v>
      </c>
      <c r="D49" s="5" t="s">
        <v>729</v>
      </c>
      <c r="E49" s="16" t="s">
        <v>778</v>
      </c>
      <c r="F49" s="16">
        <v>1</v>
      </c>
      <c r="G49" s="16">
        <v>0</v>
      </c>
      <c r="H49" s="16">
        <v>0</v>
      </c>
      <c r="I49" s="16" t="s">
        <v>15</v>
      </c>
      <c r="J49" s="17"/>
      <c r="K49" s="17"/>
      <c r="L49" s="17"/>
      <c r="M49" s="17"/>
      <c r="N49" s="17"/>
      <c r="O49" s="13"/>
      <c r="P49" s="13"/>
      <c r="Q49" s="13">
        <v>44</v>
      </c>
      <c r="R49" s="6">
        <v>9</v>
      </c>
      <c r="S49" s="7">
        <v>0.2</v>
      </c>
      <c r="T49" s="62">
        <v>33</v>
      </c>
      <c r="U49" s="16">
        <v>11.700000000000001</v>
      </c>
      <c r="V49" s="16"/>
      <c r="W49" s="16">
        <v>45</v>
      </c>
      <c r="X49" s="18">
        <v>45</v>
      </c>
      <c r="Y49" s="16">
        <f t="shared" si="20"/>
        <v>0</v>
      </c>
      <c r="Z49" s="16">
        <f t="shared" si="21"/>
        <v>11.7</v>
      </c>
      <c r="AA49" s="4">
        <v>0</v>
      </c>
      <c r="AB49" s="4">
        <v>0</v>
      </c>
      <c r="AC49" s="4">
        <v>0</v>
      </c>
      <c r="AD49" s="4">
        <v>0</v>
      </c>
      <c r="AE49" s="19">
        <v>0</v>
      </c>
      <c r="AF49" s="13">
        <f t="shared" si="22"/>
        <v>2</v>
      </c>
      <c r="AG49" s="20">
        <f t="shared" si="14"/>
        <v>46031</v>
      </c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21"/>
      <c r="AW49" s="13"/>
      <c r="AX49" s="13"/>
      <c r="AY49" s="13"/>
      <c r="AZ49" s="13">
        <v>11.7</v>
      </c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>
        <f t="shared" si="15"/>
        <v>1.7763568394002505E-15</v>
      </c>
      <c r="BN49" s="22">
        <f t="shared" si="16"/>
        <v>11.7</v>
      </c>
      <c r="BO49" s="23" t="str">
        <f t="shared" si="17"/>
        <v>ok</v>
      </c>
      <c r="BP49" s="22">
        <f t="shared" si="18"/>
        <v>45</v>
      </c>
      <c r="BQ49" s="22" t="str">
        <f t="shared" si="19"/>
        <v>ok</v>
      </c>
      <c r="BR49" s="56"/>
    </row>
    <row r="50" spans="1:70" s="12" customFormat="1" ht="24.95" customHeight="1" x14ac:dyDescent="0.25">
      <c r="A50" s="4" t="s">
        <v>117</v>
      </c>
      <c r="B50" s="15" t="s">
        <v>118</v>
      </c>
      <c r="C50" s="5">
        <v>70004</v>
      </c>
      <c r="D50" s="5" t="s">
        <v>729</v>
      </c>
      <c r="E50" s="16" t="s">
        <v>779</v>
      </c>
      <c r="F50" s="16">
        <v>1</v>
      </c>
      <c r="G50" s="16">
        <v>0</v>
      </c>
      <c r="H50" s="16">
        <v>0</v>
      </c>
      <c r="I50" s="16" t="s">
        <v>15</v>
      </c>
      <c r="J50" s="17"/>
      <c r="K50" s="17"/>
      <c r="L50" s="17"/>
      <c r="M50" s="17"/>
      <c r="N50" s="17"/>
      <c r="O50" s="13"/>
      <c r="P50" s="13"/>
      <c r="Q50" s="13">
        <v>12</v>
      </c>
      <c r="R50" s="6">
        <v>117</v>
      </c>
      <c r="S50" s="7">
        <v>0.15</v>
      </c>
      <c r="T50" s="62">
        <v>33</v>
      </c>
      <c r="U50" s="16">
        <v>13.5</v>
      </c>
      <c r="V50" s="16"/>
      <c r="W50" s="16">
        <v>45</v>
      </c>
      <c r="X50" s="18">
        <v>45</v>
      </c>
      <c r="Y50" s="16">
        <f t="shared" si="20"/>
        <v>0</v>
      </c>
      <c r="Z50" s="16">
        <f t="shared" si="21"/>
        <v>13.5</v>
      </c>
      <c r="AA50" s="4">
        <v>0</v>
      </c>
      <c r="AB50" s="4">
        <v>0</v>
      </c>
      <c r="AC50" s="4">
        <v>0</v>
      </c>
      <c r="AD50" s="4">
        <v>0</v>
      </c>
      <c r="AE50" s="19">
        <v>0</v>
      </c>
      <c r="AF50" s="13">
        <f t="shared" si="22"/>
        <v>2</v>
      </c>
      <c r="AG50" s="20">
        <f t="shared" si="14"/>
        <v>46031</v>
      </c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>
        <v>13.5</v>
      </c>
      <c r="AV50" s="21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>
        <f t="shared" si="15"/>
        <v>0</v>
      </c>
      <c r="BN50" s="22">
        <f t="shared" si="16"/>
        <v>13.5</v>
      </c>
      <c r="BO50" s="23" t="str">
        <f t="shared" si="17"/>
        <v>ok</v>
      </c>
      <c r="BP50" s="22">
        <f t="shared" si="18"/>
        <v>45</v>
      </c>
      <c r="BQ50" s="22" t="str">
        <f t="shared" si="19"/>
        <v>ok</v>
      </c>
      <c r="BR50" s="56"/>
    </row>
    <row r="51" spans="1:70" s="12" customFormat="1" ht="24.95" customHeight="1" x14ac:dyDescent="0.25">
      <c r="A51" s="4" t="s">
        <v>119</v>
      </c>
      <c r="B51" s="15" t="s">
        <v>120</v>
      </c>
      <c r="C51" s="5">
        <v>70004</v>
      </c>
      <c r="D51" s="5" t="s">
        <v>729</v>
      </c>
      <c r="E51" s="16" t="s">
        <v>780</v>
      </c>
      <c r="F51" s="16">
        <v>1</v>
      </c>
      <c r="G51" s="16">
        <v>0</v>
      </c>
      <c r="H51" s="16">
        <v>0</v>
      </c>
      <c r="I51" s="16" t="s">
        <v>15</v>
      </c>
      <c r="J51" s="17"/>
      <c r="K51" s="17"/>
      <c r="L51" s="17"/>
      <c r="M51" s="17"/>
      <c r="N51" s="17"/>
      <c r="O51" s="13"/>
      <c r="P51" s="13"/>
      <c r="Q51" s="13">
        <v>11</v>
      </c>
      <c r="R51" s="6">
        <v>64</v>
      </c>
      <c r="S51" s="7">
        <v>0.15</v>
      </c>
      <c r="T51" s="62">
        <v>33</v>
      </c>
      <c r="U51" s="16">
        <v>57.6</v>
      </c>
      <c r="V51" s="16"/>
      <c r="W51" s="16">
        <v>42</v>
      </c>
      <c r="X51" s="18">
        <v>42</v>
      </c>
      <c r="Y51" s="16">
        <f t="shared" si="20"/>
        <v>0</v>
      </c>
      <c r="Z51" s="16">
        <f t="shared" si="21"/>
        <v>57.6</v>
      </c>
      <c r="AA51" s="4">
        <v>0</v>
      </c>
      <c r="AB51" s="4">
        <v>0</v>
      </c>
      <c r="AC51" s="4">
        <v>0</v>
      </c>
      <c r="AD51" s="4">
        <v>0</v>
      </c>
      <c r="AE51" s="19">
        <v>0</v>
      </c>
      <c r="AF51" s="13">
        <f t="shared" si="22"/>
        <v>2</v>
      </c>
      <c r="AG51" s="20">
        <f t="shared" si="14"/>
        <v>46031</v>
      </c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>
        <v>33</v>
      </c>
      <c r="AV51" s="24"/>
      <c r="AW51" s="24"/>
      <c r="AX51" s="24"/>
      <c r="AY51" s="13">
        <v>24.6</v>
      </c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>
        <f t="shared" si="15"/>
        <v>0</v>
      </c>
      <c r="BN51" s="22">
        <f t="shared" si="16"/>
        <v>33</v>
      </c>
      <c r="BO51" s="23" t="str">
        <f t="shared" si="17"/>
        <v>ok</v>
      </c>
      <c r="BP51" s="22">
        <f t="shared" si="18"/>
        <v>42</v>
      </c>
      <c r="BQ51" s="22" t="str">
        <f t="shared" si="19"/>
        <v>ok</v>
      </c>
      <c r="BR51" s="56"/>
    </row>
    <row r="52" spans="1:70" s="12" customFormat="1" ht="24.95" customHeight="1" x14ac:dyDescent="0.25">
      <c r="A52" s="4" t="s">
        <v>121</v>
      </c>
      <c r="B52" s="15" t="s">
        <v>122</v>
      </c>
      <c r="C52" s="5">
        <v>70004</v>
      </c>
      <c r="D52" s="5" t="s">
        <v>729</v>
      </c>
      <c r="E52" s="16" t="s">
        <v>781</v>
      </c>
      <c r="F52" s="16">
        <v>1</v>
      </c>
      <c r="G52" s="16">
        <v>0</v>
      </c>
      <c r="H52" s="16">
        <v>0</v>
      </c>
      <c r="I52" s="16" t="s">
        <v>15</v>
      </c>
      <c r="J52" s="17"/>
      <c r="K52" s="17"/>
      <c r="L52" s="17"/>
      <c r="M52" s="17"/>
      <c r="N52" s="17"/>
      <c r="O52" s="13"/>
      <c r="P52" s="13"/>
      <c r="Q52" s="13">
        <v>11</v>
      </c>
      <c r="R52" s="6">
        <v>9</v>
      </c>
      <c r="S52" s="7">
        <v>0.15</v>
      </c>
      <c r="T52" s="62">
        <v>33</v>
      </c>
      <c r="U52" s="16">
        <v>48.6</v>
      </c>
      <c r="V52" s="16"/>
      <c r="W52" s="16">
        <v>45</v>
      </c>
      <c r="X52" s="18">
        <v>45</v>
      </c>
      <c r="Y52" s="16">
        <f t="shared" si="20"/>
        <v>-3.6000000000000014</v>
      </c>
      <c r="Z52" s="16">
        <f t="shared" si="21"/>
        <v>45</v>
      </c>
      <c r="AA52" s="4">
        <v>0</v>
      </c>
      <c r="AB52" s="4">
        <v>0</v>
      </c>
      <c r="AC52" s="4">
        <v>0</v>
      </c>
      <c r="AD52" s="4">
        <v>0</v>
      </c>
      <c r="AE52" s="19">
        <v>0</v>
      </c>
      <c r="AF52" s="13">
        <f t="shared" si="22"/>
        <v>2</v>
      </c>
      <c r="AG52" s="20">
        <f t="shared" si="14"/>
        <v>46031</v>
      </c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21"/>
      <c r="AW52" s="13"/>
      <c r="AX52" s="13"/>
      <c r="AY52" s="13"/>
      <c r="AZ52" s="13"/>
      <c r="BA52" s="13"/>
      <c r="BB52" s="13"/>
      <c r="BC52" s="13"/>
      <c r="BD52" s="13">
        <v>33</v>
      </c>
      <c r="BE52" s="13"/>
      <c r="BF52" s="13">
        <v>12</v>
      </c>
      <c r="BG52" s="13"/>
      <c r="BH52" s="13"/>
      <c r="BI52" s="13"/>
      <c r="BJ52" s="13"/>
      <c r="BK52" s="13"/>
      <c r="BL52" s="13"/>
      <c r="BM52" s="13">
        <f t="shared" si="15"/>
        <v>3.6000000000000014</v>
      </c>
      <c r="BN52" s="22">
        <f t="shared" si="16"/>
        <v>33</v>
      </c>
      <c r="BO52" s="23" t="str">
        <f t="shared" si="17"/>
        <v>ok</v>
      </c>
      <c r="BP52" s="22">
        <f t="shared" si="18"/>
        <v>45</v>
      </c>
      <c r="BQ52" s="22" t="str">
        <f t="shared" si="19"/>
        <v>ok</v>
      </c>
      <c r="BR52" s="56" t="s">
        <v>28</v>
      </c>
    </row>
    <row r="53" spans="1:70" s="12" customFormat="1" ht="24.95" customHeight="1" x14ac:dyDescent="0.25">
      <c r="A53" s="4" t="s">
        <v>123</v>
      </c>
      <c r="B53" s="15" t="s">
        <v>124</v>
      </c>
      <c r="C53" s="5">
        <v>70004</v>
      </c>
      <c r="D53" s="5" t="s">
        <v>729</v>
      </c>
      <c r="E53" s="16" t="s">
        <v>782</v>
      </c>
      <c r="F53" s="16">
        <v>1</v>
      </c>
      <c r="G53" s="16">
        <v>0</v>
      </c>
      <c r="H53" s="16">
        <v>0</v>
      </c>
      <c r="I53" s="16" t="s">
        <v>15</v>
      </c>
      <c r="J53" s="17"/>
      <c r="K53" s="17"/>
      <c r="L53" s="17"/>
      <c r="M53" s="17"/>
      <c r="N53" s="17"/>
      <c r="O53" s="13"/>
      <c r="P53" s="13"/>
      <c r="Q53" s="13">
        <v>187</v>
      </c>
      <c r="R53" s="6">
        <v>162</v>
      </c>
      <c r="S53" s="7">
        <v>0.18</v>
      </c>
      <c r="T53" s="62">
        <v>33</v>
      </c>
      <c r="U53" s="16">
        <v>10.8</v>
      </c>
      <c r="V53" s="16"/>
      <c r="W53" s="16">
        <v>37.5</v>
      </c>
      <c r="X53" s="18">
        <v>37.5</v>
      </c>
      <c r="Y53" s="16">
        <f t="shared" si="20"/>
        <v>0</v>
      </c>
      <c r="Z53" s="16">
        <f t="shared" si="21"/>
        <v>10.8</v>
      </c>
      <c r="AA53" s="4">
        <v>0</v>
      </c>
      <c r="AB53" s="4">
        <v>0</v>
      </c>
      <c r="AC53" s="4">
        <v>0</v>
      </c>
      <c r="AD53" s="4">
        <v>0</v>
      </c>
      <c r="AE53" s="19">
        <v>0</v>
      </c>
      <c r="AF53" s="13">
        <f t="shared" si="22"/>
        <v>2</v>
      </c>
      <c r="AG53" s="20">
        <f t="shared" si="14"/>
        <v>46031</v>
      </c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21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>
        <v>10.8</v>
      </c>
      <c r="BK53" s="13"/>
      <c r="BL53" s="13"/>
      <c r="BM53" s="13">
        <f t="shared" si="15"/>
        <v>0</v>
      </c>
      <c r="BN53" s="22">
        <f t="shared" si="16"/>
        <v>10.8</v>
      </c>
      <c r="BO53" s="23" t="str">
        <f t="shared" si="17"/>
        <v>ok</v>
      </c>
      <c r="BP53" s="22">
        <f t="shared" si="18"/>
        <v>37.5</v>
      </c>
      <c r="BQ53" s="22" t="str">
        <f t="shared" si="19"/>
        <v>ok</v>
      </c>
      <c r="BR53" s="56"/>
    </row>
    <row r="54" spans="1:70" s="12" customFormat="1" ht="24.95" customHeight="1" x14ac:dyDescent="0.25">
      <c r="A54" s="4" t="s">
        <v>125</v>
      </c>
      <c r="B54" s="15" t="s">
        <v>126</v>
      </c>
      <c r="C54" s="5">
        <v>70005</v>
      </c>
      <c r="D54" s="5" t="s">
        <v>730</v>
      </c>
      <c r="E54" s="16" t="s">
        <v>783</v>
      </c>
      <c r="F54" s="16">
        <v>1</v>
      </c>
      <c r="G54" s="16">
        <v>1</v>
      </c>
      <c r="H54" s="16">
        <v>0</v>
      </c>
      <c r="I54" s="16" t="s">
        <v>14</v>
      </c>
      <c r="J54" s="17"/>
      <c r="K54" s="17"/>
      <c r="L54" s="17"/>
      <c r="M54" s="17"/>
      <c r="N54" s="17"/>
      <c r="O54" s="13"/>
      <c r="P54" s="13"/>
      <c r="Q54" s="13">
        <v>12</v>
      </c>
      <c r="R54" s="6">
        <v>52</v>
      </c>
      <c r="S54" s="7">
        <v>0.15</v>
      </c>
      <c r="T54" s="62">
        <v>33</v>
      </c>
      <c r="U54" s="16">
        <v>12.6</v>
      </c>
      <c r="V54" s="16"/>
      <c r="W54" s="16">
        <v>30</v>
      </c>
      <c r="X54" s="18">
        <v>30</v>
      </c>
      <c r="Y54" s="16">
        <f t="shared" si="20"/>
        <v>0</v>
      </c>
      <c r="Z54" s="16">
        <f t="shared" si="21"/>
        <v>12.6</v>
      </c>
      <c r="AA54" s="4">
        <v>0</v>
      </c>
      <c r="AB54" s="4">
        <v>0</v>
      </c>
      <c r="AC54" s="4">
        <v>0</v>
      </c>
      <c r="AD54" s="4">
        <v>0</v>
      </c>
      <c r="AE54" s="19">
        <v>0</v>
      </c>
      <c r="AF54" s="13">
        <f t="shared" si="22"/>
        <v>2</v>
      </c>
      <c r="AG54" s="20">
        <f t="shared" si="14"/>
        <v>46031</v>
      </c>
      <c r="AH54" s="24"/>
      <c r="AI54" s="24">
        <v>12.6</v>
      </c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>
        <f t="shared" si="15"/>
        <v>0</v>
      </c>
      <c r="BN54" s="22">
        <f t="shared" si="16"/>
        <v>12.6</v>
      </c>
      <c r="BO54" s="23" t="str">
        <f t="shared" si="17"/>
        <v>ok</v>
      </c>
      <c r="BP54" s="22">
        <f t="shared" si="18"/>
        <v>30</v>
      </c>
      <c r="BQ54" s="22" t="str">
        <f t="shared" si="19"/>
        <v>ok</v>
      </c>
      <c r="BR54" s="56"/>
    </row>
    <row r="55" spans="1:70" s="12" customFormat="1" ht="24.95" customHeight="1" x14ac:dyDescent="0.25">
      <c r="A55" s="4" t="s">
        <v>127</v>
      </c>
      <c r="B55" s="15" t="s">
        <v>128</v>
      </c>
      <c r="C55" s="5">
        <v>70005</v>
      </c>
      <c r="D55" s="5" t="s">
        <v>730</v>
      </c>
      <c r="E55" s="16" t="s">
        <v>784</v>
      </c>
      <c r="F55" s="16">
        <v>1</v>
      </c>
      <c r="G55" s="16">
        <v>0</v>
      </c>
      <c r="H55" s="16">
        <v>0</v>
      </c>
      <c r="I55" s="16" t="s">
        <v>14</v>
      </c>
      <c r="J55" s="17"/>
      <c r="K55" s="17"/>
      <c r="L55" s="17"/>
      <c r="M55" s="17"/>
      <c r="N55" s="17"/>
      <c r="O55" s="13"/>
      <c r="P55" s="13"/>
      <c r="Q55" s="13">
        <v>24</v>
      </c>
      <c r="R55" s="6">
        <v>10</v>
      </c>
      <c r="S55" s="7">
        <v>0.15</v>
      </c>
      <c r="T55" s="62">
        <v>33</v>
      </c>
      <c r="U55" s="16">
        <v>12.6</v>
      </c>
      <c r="V55" s="16"/>
      <c r="W55" s="16">
        <v>78</v>
      </c>
      <c r="X55" s="18">
        <v>78</v>
      </c>
      <c r="Y55" s="16">
        <f t="shared" si="20"/>
        <v>0</v>
      </c>
      <c r="Z55" s="16">
        <f t="shared" si="21"/>
        <v>12.6</v>
      </c>
      <c r="AA55" s="4">
        <v>0</v>
      </c>
      <c r="AB55" s="4">
        <v>0</v>
      </c>
      <c r="AC55" s="4">
        <v>0</v>
      </c>
      <c r="AD55" s="4">
        <v>0</v>
      </c>
      <c r="AE55" s="19">
        <v>0</v>
      </c>
      <c r="AF55" s="13">
        <f t="shared" si="22"/>
        <v>2</v>
      </c>
      <c r="AG55" s="20">
        <f t="shared" si="14"/>
        <v>46031</v>
      </c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>
        <v>12.6</v>
      </c>
      <c r="AT55" s="13"/>
      <c r="AU55" s="13"/>
      <c r="AV55" s="21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>
        <f t="shared" si="15"/>
        <v>0</v>
      </c>
      <c r="BN55" s="22">
        <f t="shared" si="16"/>
        <v>12.6</v>
      </c>
      <c r="BO55" s="23" t="str">
        <f t="shared" si="17"/>
        <v>ok</v>
      </c>
      <c r="BP55" s="22">
        <f t="shared" si="18"/>
        <v>78</v>
      </c>
      <c r="BQ55" s="22" t="str">
        <f t="shared" si="19"/>
        <v>ok</v>
      </c>
      <c r="BR55" s="56"/>
    </row>
    <row r="56" spans="1:70" s="12" customFormat="1" ht="24.95" customHeight="1" x14ac:dyDescent="0.25">
      <c r="A56" s="4" t="s">
        <v>129</v>
      </c>
      <c r="B56" s="15" t="s">
        <v>130</v>
      </c>
      <c r="C56" s="5">
        <v>70006</v>
      </c>
      <c r="D56" s="5" t="s">
        <v>730</v>
      </c>
      <c r="E56" s="16" t="s">
        <v>785</v>
      </c>
      <c r="F56" s="16">
        <v>1</v>
      </c>
      <c r="G56" s="16">
        <v>0</v>
      </c>
      <c r="H56" s="16" t="s">
        <v>27</v>
      </c>
      <c r="I56" s="16" t="s">
        <v>14</v>
      </c>
      <c r="J56" s="17"/>
      <c r="K56" s="17"/>
      <c r="L56" s="17"/>
      <c r="M56" s="17"/>
      <c r="N56" s="17"/>
      <c r="O56" s="13"/>
      <c r="P56" s="13"/>
      <c r="Q56" s="13">
        <v>60</v>
      </c>
      <c r="R56" s="6">
        <v>32</v>
      </c>
      <c r="S56" s="7">
        <v>0.2</v>
      </c>
      <c r="T56" s="62">
        <v>45</v>
      </c>
      <c r="U56" s="16">
        <v>15.3</v>
      </c>
      <c r="V56" s="16"/>
      <c r="W56" s="16">
        <v>30</v>
      </c>
      <c r="X56" s="18">
        <v>30</v>
      </c>
      <c r="Y56" s="16">
        <f t="shared" si="20"/>
        <v>0</v>
      </c>
      <c r="Z56" s="16">
        <f t="shared" si="21"/>
        <v>15.3</v>
      </c>
      <c r="AA56" s="4">
        <v>0</v>
      </c>
      <c r="AB56" s="4">
        <v>0</v>
      </c>
      <c r="AC56" s="4">
        <v>0</v>
      </c>
      <c r="AD56" s="4">
        <v>0</v>
      </c>
      <c r="AE56" s="19">
        <v>0</v>
      </c>
      <c r="AF56" s="13">
        <f t="shared" si="22"/>
        <v>2</v>
      </c>
      <c r="AG56" s="20">
        <f t="shared" si="14"/>
        <v>46031</v>
      </c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21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>
        <v>15.3</v>
      </c>
      <c r="BL56" s="13"/>
      <c r="BM56" s="13">
        <f t="shared" si="15"/>
        <v>15.3</v>
      </c>
      <c r="BN56" s="22">
        <f t="shared" si="16"/>
        <v>0</v>
      </c>
      <c r="BO56" s="23" t="str">
        <f t="shared" si="17"/>
        <v>ok</v>
      </c>
      <c r="BP56" s="22">
        <f t="shared" si="18"/>
        <v>30</v>
      </c>
      <c r="BQ56" s="22" t="str">
        <f t="shared" si="19"/>
        <v>ok</v>
      </c>
      <c r="BR56" s="56"/>
    </row>
    <row r="57" spans="1:70" s="12" customFormat="1" ht="24.95" customHeight="1" x14ac:dyDescent="0.25">
      <c r="A57" s="4" t="s">
        <v>131</v>
      </c>
      <c r="B57" s="15" t="s">
        <v>132</v>
      </c>
      <c r="C57" s="5">
        <v>70006</v>
      </c>
      <c r="D57" s="5" t="s">
        <v>730</v>
      </c>
      <c r="E57" s="16" t="s">
        <v>786</v>
      </c>
      <c r="F57" s="16">
        <v>1</v>
      </c>
      <c r="G57" s="16">
        <v>0</v>
      </c>
      <c r="H57" s="16" t="s">
        <v>27</v>
      </c>
      <c r="I57" s="16" t="s">
        <v>14</v>
      </c>
      <c r="J57" s="17"/>
      <c r="K57" s="17"/>
      <c r="L57" s="17"/>
      <c r="M57" s="17"/>
      <c r="N57" s="17"/>
      <c r="O57" s="13"/>
      <c r="P57" s="13"/>
      <c r="Q57" s="13">
        <v>11</v>
      </c>
      <c r="R57" s="6">
        <v>9</v>
      </c>
      <c r="S57" s="7">
        <v>0.2</v>
      </c>
      <c r="T57" s="62">
        <v>45</v>
      </c>
      <c r="U57" s="16">
        <v>9</v>
      </c>
      <c r="V57" s="16"/>
      <c r="W57" s="16">
        <v>69</v>
      </c>
      <c r="X57" s="18">
        <v>69</v>
      </c>
      <c r="Y57" s="16">
        <f t="shared" si="20"/>
        <v>0</v>
      </c>
      <c r="Z57" s="16">
        <f t="shared" si="21"/>
        <v>9</v>
      </c>
      <c r="AA57" s="4">
        <v>0</v>
      </c>
      <c r="AB57" s="4">
        <v>0</v>
      </c>
      <c r="AC57" s="4">
        <v>0</v>
      </c>
      <c r="AD57" s="4">
        <v>0</v>
      </c>
      <c r="AE57" s="19">
        <v>0</v>
      </c>
      <c r="AF57" s="13">
        <f t="shared" si="22"/>
        <v>2</v>
      </c>
      <c r="AG57" s="20">
        <f t="shared" si="14"/>
        <v>46031</v>
      </c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>
        <v>9</v>
      </c>
      <c r="AW57" s="24"/>
      <c r="AX57" s="24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>
        <f t="shared" si="15"/>
        <v>0</v>
      </c>
      <c r="BN57" s="22">
        <f t="shared" si="16"/>
        <v>9</v>
      </c>
      <c r="BO57" s="23" t="str">
        <f t="shared" si="17"/>
        <v>ok</v>
      </c>
      <c r="BP57" s="22">
        <f t="shared" si="18"/>
        <v>69</v>
      </c>
      <c r="BQ57" s="22" t="str">
        <f t="shared" si="19"/>
        <v>ok</v>
      </c>
      <c r="BR57" s="56"/>
    </row>
    <row r="58" spans="1:70" s="12" customFormat="1" ht="24.95" customHeight="1" x14ac:dyDescent="0.25">
      <c r="A58" s="4" t="s">
        <v>133</v>
      </c>
      <c r="B58" s="15" t="s">
        <v>134</v>
      </c>
      <c r="C58" s="5">
        <v>70006</v>
      </c>
      <c r="D58" s="5" t="s">
        <v>730</v>
      </c>
      <c r="E58" s="16" t="s">
        <v>787</v>
      </c>
      <c r="F58" s="16">
        <v>1</v>
      </c>
      <c r="G58" s="16">
        <v>0</v>
      </c>
      <c r="H58" s="16" t="s">
        <v>27</v>
      </c>
      <c r="I58" s="16" t="s">
        <v>14</v>
      </c>
      <c r="J58" s="17"/>
      <c r="K58" s="17"/>
      <c r="L58" s="17"/>
      <c r="M58" s="17"/>
      <c r="N58" s="17"/>
      <c r="O58" s="13"/>
      <c r="P58" s="13"/>
      <c r="Q58" s="13">
        <v>14</v>
      </c>
      <c r="R58" s="6">
        <v>9</v>
      </c>
      <c r="S58" s="7">
        <v>0.2</v>
      </c>
      <c r="T58" s="62">
        <v>45</v>
      </c>
      <c r="U58" s="16">
        <v>49.5</v>
      </c>
      <c r="V58" s="16"/>
      <c r="W58" s="16">
        <v>78</v>
      </c>
      <c r="X58" s="18">
        <v>78</v>
      </c>
      <c r="Y58" s="16">
        <f t="shared" si="20"/>
        <v>-4.5</v>
      </c>
      <c r="Z58" s="16">
        <f t="shared" si="21"/>
        <v>45</v>
      </c>
      <c r="AA58" s="4">
        <v>0</v>
      </c>
      <c r="AB58" s="4">
        <v>0</v>
      </c>
      <c r="AC58" s="4">
        <v>0</v>
      </c>
      <c r="AD58" s="4">
        <v>0</v>
      </c>
      <c r="AE58" s="19">
        <v>0</v>
      </c>
      <c r="AF58" s="13">
        <f t="shared" si="22"/>
        <v>2</v>
      </c>
      <c r="AG58" s="20">
        <f t="shared" si="14"/>
        <v>46031</v>
      </c>
      <c r="AH58" s="13"/>
      <c r="AI58" s="13"/>
      <c r="AJ58" s="13"/>
      <c r="AK58" s="13"/>
      <c r="AL58" s="13"/>
      <c r="AM58" s="13"/>
      <c r="AN58" s="13">
        <v>45</v>
      </c>
      <c r="AO58" s="13"/>
      <c r="AP58" s="13"/>
      <c r="AQ58" s="13"/>
      <c r="AR58" s="13"/>
      <c r="AS58" s="13"/>
      <c r="AT58" s="13"/>
      <c r="AU58" s="13"/>
      <c r="AV58" s="21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>
        <f t="shared" si="15"/>
        <v>4.5</v>
      </c>
      <c r="BN58" s="22">
        <f t="shared" si="16"/>
        <v>45</v>
      </c>
      <c r="BO58" s="23" t="str">
        <f t="shared" si="17"/>
        <v>ok</v>
      </c>
      <c r="BP58" s="22">
        <f t="shared" si="18"/>
        <v>78</v>
      </c>
      <c r="BQ58" s="22" t="str">
        <f t="shared" si="19"/>
        <v>ok</v>
      </c>
      <c r="BR58" s="56" t="s">
        <v>28</v>
      </c>
    </row>
    <row r="59" spans="1:70" s="12" customFormat="1" ht="24.95" customHeight="1" x14ac:dyDescent="0.25">
      <c r="A59" s="4" t="s">
        <v>135</v>
      </c>
      <c r="B59" s="15" t="s">
        <v>136</v>
      </c>
      <c r="C59" s="5">
        <v>70006</v>
      </c>
      <c r="D59" s="5" t="s">
        <v>730</v>
      </c>
      <c r="E59" s="16" t="s">
        <v>788</v>
      </c>
      <c r="F59" s="16">
        <v>1</v>
      </c>
      <c r="G59" s="16">
        <v>0</v>
      </c>
      <c r="H59" s="16" t="s">
        <v>27</v>
      </c>
      <c r="I59" s="16" t="s">
        <v>14</v>
      </c>
      <c r="J59" s="17"/>
      <c r="K59" s="17"/>
      <c r="L59" s="17"/>
      <c r="M59" s="17"/>
      <c r="N59" s="17"/>
      <c r="O59" s="13"/>
      <c r="P59" s="13"/>
      <c r="Q59" s="13">
        <v>30</v>
      </c>
      <c r="R59" s="13">
        <v>8</v>
      </c>
      <c r="S59" s="7">
        <v>0.08</v>
      </c>
      <c r="T59" s="62">
        <v>45</v>
      </c>
      <c r="U59" s="16">
        <v>81</v>
      </c>
      <c r="V59" s="16"/>
      <c r="W59" s="16">
        <v>150</v>
      </c>
      <c r="X59" s="18">
        <v>150</v>
      </c>
      <c r="Y59" s="16">
        <f t="shared" si="20"/>
        <v>0</v>
      </c>
      <c r="Z59" s="16">
        <f t="shared" si="21"/>
        <v>81</v>
      </c>
      <c r="AA59" s="4">
        <v>0</v>
      </c>
      <c r="AB59" s="4">
        <v>0</v>
      </c>
      <c r="AC59" s="4">
        <v>0</v>
      </c>
      <c r="AD59" s="4">
        <v>0</v>
      </c>
      <c r="AE59" s="19">
        <v>0</v>
      </c>
      <c r="AF59" s="13">
        <f t="shared" si="22"/>
        <v>2</v>
      </c>
      <c r="AG59" s="20">
        <f t="shared" si="14"/>
        <v>46031</v>
      </c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>
        <v>36</v>
      </c>
      <c r="AT59" s="13"/>
      <c r="AU59" s="13"/>
      <c r="AV59" s="21"/>
      <c r="AW59" s="13"/>
      <c r="AX59" s="13"/>
      <c r="AY59" s="13"/>
      <c r="AZ59" s="13"/>
      <c r="BA59" s="13"/>
      <c r="BB59" s="13">
        <v>45</v>
      </c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>
        <f t="shared" si="15"/>
        <v>0</v>
      </c>
      <c r="BN59" s="22">
        <f t="shared" si="16"/>
        <v>45</v>
      </c>
      <c r="BO59" s="23" t="str">
        <f t="shared" si="17"/>
        <v>ok</v>
      </c>
      <c r="BP59" s="22">
        <f t="shared" si="18"/>
        <v>150</v>
      </c>
      <c r="BQ59" s="22" t="str">
        <f t="shared" si="19"/>
        <v>ok</v>
      </c>
      <c r="BR59" s="56"/>
    </row>
    <row r="60" spans="1:70" s="12" customFormat="1" ht="24.95" customHeight="1" x14ac:dyDescent="0.25">
      <c r="A60" s="4" t="s">
        <v>137</v>
      </c>
      <c r="B60" s="15" t="s">
        <v>138</v>
      </c>
      <c r="C60" s="5">
        <v>70006</v>
      </c>
      <c r="D60" s="5" t="s">
        <v>730</v>
      </c>
      <c r="E60" s="16" t="s">
        <v>789</v>
      </c>
      <c r="F60" s="16">
        <v>1</v>
      </c>
      <c r="G60" s="16">
        <v>1</v>
      </c>
      <c r="H60" s="16" t="s">
        <v>27</v>
      </c>
      <c r="I60" s="16" t="s">
        <v>14</v>
      </c>
      <c r="J60" s="17"/>
      <c r="K60" s="17"/>
      <c r="L60" s="17"/>
      <c r="M60" s="17"/>
      <c r="N60" s="17"/>
      <c r="O60" s="13"/>
      <c r="P60" s="13"/>
      <c r="Q60" s="13">
        <v>21</v>
      </c>
      <c r="R60" s="6">
        <v>23</v>
      </c>
      <c r="S60" s="7">
        <v>0.08</v>
      </c>
      <c r="T60" s="62">
        <v>45</v>
      </c>
      <c r="U60" s="16">
        <v>61.2</v>
      </c>
      <c r="V60" s="16"/>
      <c r="W60" s="16">
        <v>72</v>
      </c>
      <c r="X60" s="18">
        <v>72</v>
      </c>
      <c r="Y60" s="16">
        <f t="shared" si="20"/>
        <v>0</v>
      </c>
      <c r="Z60" s="16">
        <f t="shared" si="21"/>
        <v>61.2</v>
      </c>
      <c r="AA60" s="4">
        <v>0</v>
      </c>
      <c r="AB60" s="4">
        <v>0</v>
      </c>
      <c r="AC60" s="4">
        <v>0</v>
      </c>
      <c r="AD60" s="4">
        <v>0</v>
      </c>
      <c r="AE60" s="19">
        <v>0</v>
      </c>
      <c r="AF60" s="13">
        <f t="shared" si="22"/>
        <v>2</v>
      </c>
      <c r="AG60" s="20">
        <f t="shared" si="14"/>
        <v>46031</v>
      </c>
      <c r="AH60" s="13"/>
      <c r="AI60" s="13"/>
      <c r="AJ60" s="13"/>
      <c r="AK60" s="13"/>
      <c r="AL60" s="13"/>
      <c r="AM60" s="13">
        <v>45</v>
      </c>
      <c r="AN60" s="13"/>
      <c r="AO60" s="13"/>
      <c r="AP60" s="13"/>
      <c r="AQ60" s="13"/>
      <c r="AR60" s="13"/>
      <c r="AS60" s="13"/>
      <c r="AT60" s="13"/>
      <c r="AU60" s="13"/>
      <c r="AV60" s="21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>
        <v>16.2</v>
      </c>
      <c r="BM60" s="13">
        <f t="shared" si="15"/>
        <v>16.200000000000003</v>
      </c>
      <c r="BN60" s="22">
        <f t="shared" si="16"/>
        <v>45</v>
      </c>
      <c r="BO60" s="23" t="str">
        <f t="shared" si="17"/>
        <v>ok</v>
      </c>
      <c r="BP60" s="22">
        <f t="shared" si="18"/>
        <v>72</v>
      </c>
      <c r="BQ60" s="22" t="str">
        <f t="shared" si="19"/>
        <v>ok</v>
      </c>
      <c r="BR60" s="56"/>
    </row>
    <row r="61" spans="1:70" s="12" customFormat="1" ht="24.95" customHeight="1" x14ac:dyDescent="0.25">
      <c r="A61" s="4" t="s">
        <v>139</v>
      </c>
      <c r="B61" s="15" t="s">
        <v>140</v>
      </c>
      <c r="C61" s="5">
        <v>70006</v>
      </c>
      <c r="D61" s="5" t="s">
        <v>730</v>
      </c>
      <c r="E61" s="16" t="s">
        <v>790</v>
      </c>
      <c r="F61" s="16">
        <v>1</v>
      </c>
      <c r="G61" s="16">
        <v>1</v>
      </c>
      <c r="H61" s="16" t="s">
        <v>27</v>
      </c>
      <c r="I61" s="16" t="s">
        <v>14</v>
      </c>
      <c r="J61" s="17"/>
      <c r="K61" s="17"/>
      <c r="L61" s="17"/>
      <c r="M61" s="17"/>
      <c r="N61" s="17"/>
      <c r="O61" s="13"/>
      <c r="P61" s="13"/>
      <c r="Q61" s="13">
        <v>15</v>
      </c>
      <c r="R61" s="6">
        <v>35</v>
      </c>
      <c r="S61" s="7">
        <v>0.2</v>
      </c>
      <c r="T61" s="62">
        <v>45</v>
      </c>
      <c r="U61" s="16">
        <v>68.400000000000006</v>
      </c>
      <c r="V61" s="16"/>
      <c r="W61" s="16">
        <v>82.5</v>
      </c>
      <c r="X61" s="18">
        <v>82.5</v>
      </c>
      <c r="Y61" s="16">
        <f t="shared" si="20"/>
        <v>0</v>
      </c>
      <c r="Z61" s="16">
        <f t="shared" si="21"/>
        <v>68.400000000000006</v>
      </c>
      <c r="AA61" s="4">
        <v>0</v>
      </c>
      <c r="AB61" s="4">
        <v>0</v>
      </c>
      <c r="AC61" s="4">
        <v>45</v>
      </c>
      <c r="AD61" s="4">
        <v>0</v>
      </c>
      <c r="AE61" s="19">
        <v>45</v>
      </c>
      <c r="AF61" s="13">
        <f t="shared" si="22"/>
        <v>2</v>
      </c>
      <c r="AG61" s="20">
        <f t="shared" si="14"/>
        <v>46032</v>
      </c>
      <c r="AH61" s="24"/>
      <c r="AI61" s="24"/>
      <c r="AJ61" s="24"/>
      <c r="AK61" s="24"/>
      <c r="AL61" s="24"/>
      <c r="AM61" s="24"/>
      <c r="AN61" s="24"/>
      <c r="AO61" s="24"/>
      <c r="AP61" s="24">
        <v>45</v>
      </c>
      <c r="AQ61" s="24"/>
      <c r="AR61" s="24"/>
      <c r="AS61" s="24"/>
      <c r="AT61" s="24"/>
      <c r="AU61" s="24"/>
      <c r="AV61" s="24"/>
      <c r="AW61" s="24"/>
      <c r="AX61" s="24">
        <v>23.4</v>
      </c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>
        <f t="shared" si="15"/>
        <v>0</v>
      </c>
      <c r="BN61" s="22">
        <f t="shared" si="16"/>
        <v>45</v>
      </c>
      <c r="BO61" s="23" t="str">
        <f t="shared" si="17"/>
        <v>ok</v>
      </c>
      <c r="BP61" s="22">
        <f t="shared" si="18"/>
        <v>82.5</v>
      </c>
      <c r="BQ61" s="22" t="str">
        <f t="shared" si="19"/>
        <v>ok</v>
      </c>
      <c r="BR61" s="56"/>
    </row>
    <row r="62" spans="1:70" s="12" customFormat="1" ht="24.95" customHeight="1" x14ac:dyDescent="0.25">
      <c r="A62" s="4" t="s">
        <v>141</v>
      </c>
      <c r="B62" s="15" t="s">
        <v>142</v>
      </c>
      <c r="C62" s="5">
        <v>70006</v>
      </c>
      <c r="D62" s="5" t="s">
        <v>730</v>
      </c>
      <c r="E62" s="16" t="s">
        <v>791</v>
      </c>
      <c r="F62" s="16">
        <v>1</v>
      </c>
      <c r="G62" s="16">
        <v>0</v>
      </c>
      <c r="H62" s="16" t="s">
        <v>27</v>
      </c>
      <c r="I62" s="16" t="s">
        <v>14</v>
      </c>
      <c r="J62" s="17"/>
      <c r="K62" s="17"/>
      <c r="L62" s="17"/>
      <c r="M62" s="17"/>
      <c r="N62" s="17"/>
      <c r="O62" s="13"/>
      <c r="P62" s="13"/>
      <c r="Q62" s="13">
        <v>14</v>
      </c>
      <c r="R62" s="6">
        <v>25</v>
      </c>
      <c r="S62" s="7">
        <v>0.08</v>
      </c>
      <c r="T62" s="62">
        <v>45</v>
      </c>
      <c r="U62" s="16">
        <v>121.5</v>
      </c>
      <c r="V62" s="16"/>
      <c r="W62" s="16">
        <v>72</v>
      </c>
      <c r="X62" s="18">
        <v>72</v>
      </c>
      <c r="Y62" s="16">
        <f t="shared" si="20"/>
        <v>0</v>
      </c>
      <c r="Z62" s="16">
        <f t="shared" si="21"/>
        <v>121.5</v>
      </c>
      <c r="AA62" s="4">
        <v>0</v>
      </c>
      <c r="AB62" s="4">
        <v>0</v>
      </c>
      <c r="AC62" s="4">
        <v>0</v>
      </c>
      <c r="AD62" s="4">
        <v>0</v>
      </c>
      <c r="AE62" s="19">
        <v>0</v>
      </c>
      <c r="AF62" s="13">
        <f t="shared" si="22"/>
        <v>2</v>
      </c>
      <c r="AG62" s="20">
        <f t="shared" si="14"/>
        <v>46031</v>
      </c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>
        <v>31.5</v>
      </c>
      <c r="AS62" s="24"/>
      <c r="AT62" s="24"/>
      <c r="AU62" s="24"/>
      <c r="AV62" s="24"/>
      <c r="AW62" s="24"/>
      <c r="AX62" s="24"/>
      <c r="AY62" s="13">
        <v>45</v>
      </c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>
        <v>45</v>
      </c>
      <c r="BK62" s="13"/>
      <c r="BL62" s="13"/>
      <c r="BM62" s="13">
        <f t="shared" si="15"/>
        <v>0</v>
      </c>
      <c r="BN62" s="22">
        <f t="shared" si="16"/>
        <v>45</v>
      </c>
      <c r="BO62" s="23" t="str">
        <f t="shared" si="17"/>
        <v>ok</v>
      </c>
      <c r="BP62" s="22">
        <f t="shared" si="18"/>
        <v>72</v>
      </c>
      <c r="BQ62" s="22" t="str">
        <f t="shared" si="19"/>
        <v>ok</v>
      </c>
      <c r="BR62" s="56"/>
    </row>
    <row r="63" spans="1:70" s="12" customFormat="1" ht="24.95" customHeight="1" x14ac:dyDescent="0.25">
      <c r="A63" s="4" t="s">
        <v>143</v>
      </c>
      <c r="B63" s="15" t="s">
        <v>144</v>
      </c>
      <c r="C63" s="5">
        <v>70006</v>
      </c>
      <c r="D63" s="5" t="s">
        <v>730</v>
      </c>
      <c r="E63" s="16" t="s">
        <v>792</v>
      </c>
      <c r="F63" s="16">
        <v>1</v>
      </c>
      <c r="G63" s="16">
        <v>1</v>
      </c>
      <c r="H63" s="16" t="s">
        <v>27</v>
      </c>
      <c r="I63" s="16" t="s">
        <v>14</v>
      </c>
      <c r="J63" s="17"/>
      <c r="K63" s="17"/>
      <c r="L63" s="17"/>
      <c r="M63" s="17"/>
      <c r="N63" s="17"/>
      <c r="O63" s="13"/>
      <c r="P63" s="13"/>
      <c r="Q63" s="13">
        <v>28</v>
      </c>
      <c r="R63" s="6">
        <v>8</v>
      </c>
      <c r="S63" s="7">
        <v>0.08</v>
      </c>
      <c r="T63" s="62">
        <v>45</v>
      </c>
      <c r="U63" s="16">
        <v>156.6</v>
      </c>
      <c r="V63" s="16"/>
      <c r="W63" s="16">
        <v>67.5</v>
      </c>
      <c r="X63" s="18">
        <v>67.5</v>
      </c>
      <c r="Y63" s="16">
        <f t="shared" si="20"/>
        <v>0</v>
      </c>
      <c r="Z63" s="16">
        <f t="shared" si="21"/>
        <v>156.6</v>
      </c>
      <c r="AA63" s="4">
        <v>0</v>
      </c>
      <c r="AB63" s="4">
        <v>0</v>
      </c>
      <c r="AC63" s="4">
        <v>45</v>
      </c>
      <c r="AD63" s="4">
        <v>0</v>
      </c>
      <c r="AE63" s="19">
        <v>45</v>
      </c>
      <c r="AF63" s="13">
        <f t="shared" si="22"/>
        <v>2</v>
      </c>
      <c r="AG63" s="20">
        <f t="shared" si="14"/>
        <v>46032</v>
      </c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21"/>
      <c r="AW63" s="13"/>
      <c r="AX63" s="13"/>
      <c r="AY63" s="13">
        <v>43.6</v>
      </c>
      <c r="AZ63" s="13"/>
      <c r="BA63" s="13"/>
      <c r="BB63" s="13"/>
      <c r="BC63" s="13"/>
      <c r="BD63" s="13"/>
      <c r="BE63" s="13">
        <v>23</v>
      </c>
      <c r="BF63" s="13"/>
      <c r="BG63" s="13">
        <v>45</v>
      </c>
      <c r="BH63" s="13"/>
      <c r="BI63" s="13"/>
      <c r="BJ63" s="13">
        <v>45</v>
      </c>
      <c r="BK63" s="13"/>
      <c r="BL63" s="13"/>
      <c r="BM63" s="13">
        <f t="shared" si="15"/>
        <v>0</v>
      </c>
      <c r="BN63" s="22">
        <f t="shared" si="16"/>
        <v>45</v>
      </c>
      <c r="BO63" s="23" t="str">
        <f t="shared" si="17"/>
        <v>ok</v>
      </c>
      <c r="BP63" s="22">
        <f t="shared" si="18"/>
        <v>67.5</v>
      </c>
      <c r="BQ63" s="22" t="str">
        <f t="shared" si="19"/>
        <v>ok</v>
      </c>
      <c r="BR63" s="56"/>
    </row>
    <row r="64" spans="1:70" s="12" customFormat="1" ht="24.95" customHeight="1" x14ac:dyDescent="0.25">
      <c r="A64" s="4" t="s">
        <v>145</v>
      </c>
      <c r="B64" s="15" t="s">
        <v>146</v>
      </c>
      <c r="C64" s="5">
        <v>70006</v>
      </c>
      <c r="D64" s="5" t="s">
        <v>730</v>
      </c>
      <c r="E64" s="16" t="s">
        <v>793</v>
      </c>
      <c r="F64" s="16">
        <v>1</v>
      </c>
      <c r="G64" s="16">
        <v>1</v>
      </c>
      <c r="H64" s="16" t="s">
        <v>27</v>
      </c>
      <c r="I64" s="16" t="s">
        <v>14</v>
      </c>
      <c r="J64" s="17"/>
      <c r="K64" s="17"/>
      <c r="L64" s="17"/>
      <c r="M64" s="17"/>
      <c r="N64" s="17"/>
      <c r="O64" s="13"/>
      <c r="P64" s="13"/>
      <c r="Q64" s="13">
        <v>14</v>
      </c>
      <c r="R64" s="6">
        <v>9</v>
      </c>
      <c r="S64" s="7">
        <v>0.08</v>
      </c>
      <c r="T64" s="62">
        <v>45</v>
      </c>
      <c r="U64" s="16">
        <v>140.4</v>
      </c>
      <c r="V64" s="16"/>
      <c r="W64" s="16">
        <v>75</v>
      </c>
      <c r="X64" s="18">
        <v>75</v>
      </c>
      <c r="Y64" s="16">
        <f t="shared" si="20"/>
        <v>0</v>
      </c>
      <c r="Z64" s="16">
        <f t="shared" si="21"/>
        <v>140.4</v>
      </c>
      <c r="AA64" s="4">
        <v>0</v>
      </c>
      <c r="AB64" s="4">
        <v>0</v>
      </c>
      <c r="AC64" s="4">
        <v>0</v>
      </c>
      <c r="AD64" s="4">
        <v>0</v>
      </c>
      <c r="AE64" s="19">
        <v>0</v>
      </c>
      <c r="AF64" s="13">
        <f t="shared" si="22"/>
        <v>2</v>
      </c>
      <c r="AG64" s="20">
        <f t="shared" si="14"/>
        <v>46031</v>
      </c>
      <c r="AH64" s="13"/>
      <c r="AI64" s="13">
        <v>20.399999999999999</v>
      </c>
      <c r="AJ64" s="13"/>
      <c r="AK64" s="13"/>
      <c r="AL64" s="13"/>
      <c r="AM64" s="13">
        <v>45</v>
      </c>
      <c r="AN64" s="13"/>
      <c r="AO64" s="13">
        <v>30</v>
      </c>
      <c r="AP64" s="13"/>
      <c r="AQ64" s="13"/>
      <c r="AR64" s="13"/>
      <c r="AS64" s="13"/>
      <c r="AT64" s="13"/>
      <c r="AU64" s="13"/>
      <c r="AV64" s="21"/>
      <c r="AW64" s="13"/>
      <c r="AX64" s="13"/>
      <c r="AY64" s="13"/>
      <c r="AZ64" s="13"/>
      <c r="BA64" s="13"/>
      <c r="BB64" s="13"/>
      <c r="BC64" s="13"/>
      <c r="BD64" s="13"/>
      <c r="BE64" s="13">
        <v>45</v>
      </c>
      <c r="BF64" s="13"/>
      <c r="BG64" s="13"/>
      <c r="BH64" s="13"/>
      <c r="BI64" s="13"/>
      <c r="BJ64" s="13"/>
      <c r="BK64" s="13"/>
      <c r="BL64" s="13"/>
      <c r="BM64" s="13">
        <f t="shared" si="15"/>
        <v>0</v>
      </c>
      <c r="BN64" s="22">
        <f t="shared" si="16"/>
        <v>45</v>
      </c>
      <c r="BO64" s="23" t="str">
        <f t="shared" si="17"/>
        <v>ok</v>
      </c>
      <c r="BP64" s="22">
        <f t="shared" si="18"/>
        <v>75</v>
      </c>
      <c r="BQ64" s="22" t="str">
        <f t="shared" si="19"/>
        <v>ok</v>
      </c>
      <c r="BR64" s="56"/>
    </row>
    <row r="65" spans="1:70" s="12" customFormat="1" ht="24.95" customHeight="1" x14ac:dyDescent="0.25">
      <c r="A65" s="4" t="s">
        <v>147</v>
      </c>
      <c r="B65" s="15" t="s">
        <v>148</v>
      </c>
      <c r="C65" s="5">
        <v>70006</v>
      </c>
      <c r="D65" s="5" t="s">
        <v>730</v>
      </c>
      <c r="E65" s="16" t="s">
        <v>794</v>
      </c>
      <c r="F65" s="16">
        <v>1</v>
      </c>
      <c r="G65" s="16">
        <v>1</v>
      </c>
      <c r="H65" s="16" t="s">
        <v>27</v>
      </c>
      <c r="I65" s="16" t="s">
        <v>14</v>
      </c>
      <c r="J65" s="17"/>
      <c r="K65" s="17"/>
      <c r="L65" s="17"/>
      <c r="M65" s="17"/>
      <c r="N65" s="17"/>
      <c r="O65" s="13"/>
      <c r="P65" s="13"/>
      <c r="Q65" s="13">
        <v>11</v>
      </c>
      <c r="R65" s="13">
        <v>8</v>
      </c>
      <c r="S65" s="7">
        <v>0.08</v>
      </c>
      <c r="T65" s="62">
        <v>45</v>
      </c>
      <c r="U65" s="16">
        <v>394.2</v>
      </c>
      <c r="V65" s="16"/>
      <c r="W65" s="16">
        <v>144</v>
      </c>
      <c r="X65" s="18">
        <v>144</v>
      </c>
      <c r="Y65" s="16">
        <f t="shared" si="20"/>
        <v>0</v>
      </c>
      <c r="Z65" s="16">
        <f t="shared" si="21"/>
        <v>394.2</v>
      </c>
      <c r="AA65" s="4">
        <v>0</v>
      </c>
      <c r="AB65" s="4">
        <v>45</v>
      </c>
      <c r="AC65" s="4">
        <v>10</v>
      </c>
      <c r="AD65" s="4">
        <v>0</v>
      </c>
      <c r="AE65" s="19">
        <v>55</v>
      </c>
      <c r="AF65" s="13">
        <f t="shared" si="22"/>
        <v>2</v>
      </c>
      <c r="AG65" s="20">
        <f t="shared" si="14"/>
        <v>46032</v>
      </c>
      <c r="AH65" s="13">
        <v>45</v>
      </c>
      <c r="AI65" s="13"/>
      <c r="AJ65" s="13"/>
      <c r="AK65" s="13"/>
      <c r="AL65" s="13"/>
      <c r="AM65" s="13"/>
      <c r="AN65" s="13"/>
      <c r="AO65" s="13"/>
      <c r="AP65" s="13">
        <v>45</v>
      </c>
      <c r="AQ65" s="13">
        <v>45</v>
      </c>
      <c r="AR65" s="13"/>
      <c r="AS65" s="13"/>
      <c r="AT65" s="13">
        <v>45</v>
      </c>
      <c r="AU65" s="13"/>
      <c r="AV65" s="13"/>
      <c r="AW65" s="13"/>
      <c r="AX65" s="13">
        <v>34.200000000000003</v>
      </c>
      <c r="AY65" s="13">
        <v>45</v>
      </c>
      <c r="AZ65" s="13"/>
      <c r="BA65" s="13">
        <v>45</v>
      </c>
      <c r="BB65" s="13"/>
      <c r="BC65" s="13"/>
      <c r="BD65" s="13"/>
      <c r="BE65" s="13"/>
      <c r="BF65" s="13"/>
      <c r="BG65" s="13"/>
      <c r="BH65" s="13">
        <v>45</v>
      </c>
      <c r="BI65" s="13"/>
      <c r="BJ65" s="13"/>
      <c r="BK65" s="13">
        <v>45</v>
      </c>
      <c r="BL65" s="13"/>
      <c r="BM65" s="13">
        <f t="shared" si="15"/>
        <v>45</v>
      </c>
      <c r="BN65" s="22">
        <f t="shared" si="16"/>
        <v>45</v>
      </c>
      <c r="BO65" s="23" t="str">
        <f t="shared" si="17"/>
        <v>ok</v>
      </c>
      <c r="BP65" s="22">
        <f t="shared" si="18"/>
        <v>144</v>
      </c>
      <c r="BQ65" s="22" t="str">
        <f t="shared" si="19"/>
        <v>ok</v>
      </c>
      <c r="BR65" s="56"/>
    </row>
    <row r="66" spans="1:70" s="12" customFormat="1" ht="24.95" customHeight="1" x14ac:dyDescent="0.25">
      <c r="A66" s="4" t="s">
        <v>149</v>
      </c>
      <c r="B66" s="15" t="s">
        <v>150</v>
      </c>
      <c r="C66" s="5">
        <v>70006</v>
      </c>
      <c r="D66" s="5" t="s">
        <v>730</v>
      </c>
      <c r="E66" s="16" t="s">
        <v>795</v>
      </c>
      <c r="F66" s="16">
        <v>1</v>
      </c>
      <c r="G66" s="16">
        <v>1</v>
      </c>
      <c r="H66" s="16" t="s">
        <v>27</v>
      </c>
      <c r="I66" s="16" t="s">
        <v>14</v>
      </c>
      <c r="J66" s="17"/>
      <c r="K66" s="17"/>
      <c r="L66" s="17"/>
      <c r="M66" s="17"/>
      <c r="N66" s="17"/>
      <c r="O66" s="13"/>
      <c r="P66" s="13"/>
      <c r="Q66" s="13">
        <v>31</v>
      </c>
      <c r="R66" s="6">
        <v>9</v>
      </c>
      <c r="S66" s="7">
        <v>0.08</v>
      </c>
      <c r="T66" s="62">
        <v>45</v>
      </c>
      <c r="U66" s="16">
        <v>261</v>
      </c>
      <c r="V66" s="16"/>
      <c r="W66" s="16">
        <v>153</v>
      </c>
      <c r="X66" s="18">
        <v>153</v>
      </c>
      <c r="Y66" s="16">
        <f t="shared" si="20"/>
        <v>0</v>
      </c>
      <c r="Z66" s="16">
        <f t="shared" si="21"/>
        <v>261</v>
      </c>
      <c r="AA66" s="4">
        <v>0</v>
      </c>
      <c r="AB66" s="4">
        <v>0</v>
      </c>
      <c r="AC66" s="4">
        <v>10</v>
      </c>
      <c r="AD66" s="4">
        <v>0</v>
      </c>
      <c r="AE66" s="19">
        <v>10</v>
      </c>
      <c r="AF66" s="13">
        <f t="shared" si="22"/>
        <v>2</v>
      </c>
      <c r="AG66" s="20">
        <f t="shared" si="14"/>
        <v>46032</v>
      </c>
      <c r="AH66" s="13">
        <v>45</v>
      </c>
      <c r="AI66" s="13"/>
      <c r="AJ66" s="13"/>
      <c r="AK66" s="13"/>
      <c r="AL66" s="13"/>
      <c r="AM66" s="13"/>
      <c r="AN66" s="13"/>
      <c r="AO66" s="13"/>
      <c r="AP66" s="13">
        <v>36</v>
      </c>
      <c r="AQ66" s="13"/>
      <c r="AR66" s="13"/>
      <c r="AS66" s="13"/>
      <c r="AT66" s="13"/>
      <c r="AU66" s="13">
        <v>45</v>
      </c>
      <c r="AV66" s="21"/>
      <c r="AW66" s="13"/>
      <c r="AX66" s="13"/>
      <c r="AY66" s="13"/>
      <c r="AZ66" s="13">
        <v>45</v>
      </c>
      <c r="BA66" s="13">
        <v>45</v>
      </c>
      <c r="BB66" s="13"/>
      <c r="BC66" s="13"/>
      <c r="BD66" s="13"/>
      <c r="BE66" s="13">
        <v>45</v>
      </c>
      <c r="BF66" s="13"/>
      <c r="BG66" s="13"/>
      <c r="BH66" s="13"/>
      <c r="BI66" s="13"/>
      <c r="BJ66" s="13"/>
      <c r="BK66" s="13"/>
      <c r="BL66" s="13"/>
      <c r="BM66" s="13">
        <f t="shared" si="15"/>
        <v>0</v>
      </c>
      <c r="BN66" s="22">
        <f t="shared" si="16"/>
        <v>45</v>
      </c>
      <c r="BO66" s="23" t="str">
        <f t="shared" si="17"/>
        <v>ok</v>
      </c>
      <c r="BP66" s="22">
        <f t="shared" si="18"/>
        <v>153</v>
      </c>
      <c r="BQ66" s="22" t="str">
        <f t="shared" si="19"/>
        <v>ok</v>
      </c>
      <c r="BR66" s="56"/>
    </row>
    <row r="67" spans="1:70" s="12" customFormat="1" ht="24.95" customHeight="1" x14ac:dyDescent="0.25">
      <c r="A67" s="4" t="s">
        <v>151</v>
      </c>
      <c r="B67" s="15" t="s">
        <v>152</v>
      </c>
      <c r="C67" s="5">
        <v>70006</v>
      </c>
      <c r="D67" s="5" t="s">
        <v>730</v>
      </c>
      <c r="E67" s="16" t="s">
        <v>796</v>
      </c>
      <c r="F67" s="16">
        <v>1</v>
      </c>
      <c r="G67" s="16">
        <v>1</v>
      </c>
      <c r="H67" s="16" t="s">
        <v>27</v>
      </c>
      <c r="I67" s="16" t="s">
        <v>14</v>
      </c>
      <c r="J67" s="17"/>
      <c r="K67" s="17"/>
      <c r="L67" s="17"/>
      <c r="M67" s="17"/>
      <c r="N67" s="17"/>
      <c r="O67" s="13"/>
      <c r="P67" s="13"/>
      <c r="Q67" s="13">
        <v>47</v>
      </c>
      <c r="R67" s="6">
        <v>13</v>
      </c>
      <c r="S67" s="7">
        <v>0.08</v>
      </c>
      <c r="T67" s="62">
        <v>45</v>
      </c>
      <c r="U67" s="16">
        <v>567</v>
      </c>
      <c r="V67" s="16"/>
      <c r="W67" s="16">
        <v>154.5</v>
      </c>
      <c r="X67" s="18">
        <v>154.5</v>
      </c>
      <c r="Y67" s="16">
        <f t="shared" si="20"/>
        <v>0</v>
      </c>
      <c r="Z67" s="16">
        <f t="shared" si="21"/>
        <v>567</v>
      </c>
      <c r="AA67" s="4">
        <v>0</v>
      </c>
      <c r="AB67" s="4">
        <v>45</v>
      </c>
      <c r="AC67" s="4">
        <v>10</v>
      </c>
      <c r="AD67" s="4">
        <v>0</v>
      </c>
      <c r="AE67" s="19">
        <v>55</v>
      </c>
      <c r="AF67" s="13">
        <f t="shared" si="22"/>
        <v>2</v>
      </c>
      <c r="AG67" s="20">
        <f t="shared" si="14"/>
        <v>46032</v>
      </c>
      <c r="AH67" s="24"/>
      <c r="AI67" s="24"/>
      <c r="AJ67" s="24">
        <v>45</v>
      </c>
      <c r="AK67" s="24">
        <v>45</v>
      </c>
      <c r="AL67" s="24"/>
      <c r="AM67" s="24">
        <v>45</v>
      </c>
      <c r="AN67" s="24"/>
      <c r="AO67" s="24">
        <v>45</v>
      </c>
      <c r="AP67" s="24"/>
      <c r="AQ67" s="24">
        <v>45</v>
      </c>
      <c r="AR67" s="24"/>
      <c r="AS67" s="24"/>
      <c r="AT67" s="24">
        <v>45</v>
      </c>
      <c r="AU67" s="24">
        <v>45</v>
      </c>
      <c r="AV67" s="24">
        <v>45</v>
      </c>
      <c r="AW67" s="24">
        <v>27</v>
      </c>
      <c r="AX67" s="24"/>
      <c r="AY67" s="13"/>
      <c r="AZ67" s="13">
        <v>45</v>
      </c>
      <c r="BA67" s="13"/>
      <c r="BB67" s="13">
        <v>45</v>
      </c>
      <c r="BC67" s="13"/>
      <c r="BD67" s="13"/>
      <c r="BE67" s="13">
        <v>45</v>
      </c>
      <c r="BF67" s="13"/>
      <c r="BG67" s="13"/>
      <c r="BH67" s="13"/>
      <c r="BI67" s="13"/>
      <c r="BJ67" s="13"/>
      <c r="BK67" s="13">
        <v>45</v>
      </c>
      <c r="BL67" s="13"/>
      <c r="BM67" s="13">
        <f t="shared" si="15"/>
        <v>45</v>
      </c>
      <c r="BN67" s="22">
        <f t="shared" si="16"/>
        <v>45</v>
      </c>
      <c r="BO67" s="23" t="str">
        <f t="shared" si="17"/>
        <v>ok</v>
      </c>
      <c r="BP67" s="22">
        <f t="shared" si="18"/>
        <v>154.5</v>
      </c>
      <c r="BQ67" s="22" t="str">
        <f t="shared" si="19"/>
        <v>ok</v>
      </c>
      <c r="BR67" s="56"/>
    </row>
    <row r="68" spans="1:70" s="12" customFormat="1" ht="24.95" customHeight="1" x14ac:dyDescent="0.25">
      <c r="A68" s="4" t="s">
        <v>153</v>
      </c>
      <c r="B68" s="15" t="s">
        <v>154</v>
      </c>
      <c r="C68" s="5">
        <v>70006</v>
      </c>
      <c r="D68" s="5" t="s">
        <v>730</v>
      </c>
      <c r="E68" s="16" t="s">
        <v>772</v>
      </c>
      <c r="F68" s="16">
        <v>2</v>
      </c>
      <c r="G68" s="16">
        <v>1</v>
      </c>
      <c r="H68" s="16" t="s">
        <v>27</v>
      </c>
      <c r="I68" s="16" t="s">
        <v>14</v>
      </c>
      <c r="J68" s="17"/>
      <c r="K68" s="17"/>
      <c r="L68" s="17"/>
      <c r="M68" s="17"/>
      <c r="N68" s="17"/>
      <c r="O68" s="13"/>
      <c r="P68" s="13"/>
      <c r="Q68" s="13">
        <v>62</v>
      </c>
      <c r="R68" s="6">
        <v>9</v>
      </c>
      <c r="S68" s="7">
        <v>0.08</v>
      </c>
      <c r="T68" s="62">
        <v>45</v>
      </c>
      <c r="U68" s="16">
        <v>221.4</v>
      </c>
      <c r="V68" s="16"/>
      <c r="W68" s="16">
        <v>99</v>
      </c>
      <c r="X68" s="18">
        <v>99</v>
      </c>
      <c r="Y68" s="16">
        <f t="shared" si="20"/>
        <v>0</v>
      </c>
      <c r="Z68" s="16">
        <f t="shared" si="21"/>
        <v>221.4</v>
      </c>
      <c r="AA68" s="4">
        <v>0</v>
      </c>
      <c r="AB68" s="4">
        <v>0</v>
      </c>
      <c r="AC68" s="4">
        <v>0</v>
      </c>
      <c r="AD68" s="4">
        <v>0</v>
      </c>
      <c r="AE68" s="19">
        <v>0</v>
      </c>
      <c r="AF68" s="13">
        <f t="shared" si="22"/>
        <v>2</v>
      </c>
      <c r="AG68" s="20">
        <f t="shared" si="14"/>
        <v>46031</v>
      </c>
      <c r="AH68" s="13"/>
      <c r="AI68" s="13"/>
      <c r="AJ68" s="13"/>
      <c r="AK68" s="13"/>
      <c r="AL68" s="13"/>
      <c r="AM68" s="13">
        <v>45</v>
      </c>
      <c r="AN68" s="13"/>
      <c r="AO68" s="13"/>
      <c r="AP68" s="13">
        <v>45</v>
      </c>
      <c r="AQ68" s="13"/>
      <c r="AR68" s="13"/>
      <c r="AS68" s="13"/>
      <c r="AT68" s="13"/>
      <c r="AU68" s="13">
        <v>45</v>
      </c>
      <c r="AV68" s="21"/>
      <c r="AW68" s="13"/>
      <c r="AX68" s="13"/>
      <c r="AY68" s="13"/>
      <c r="AZ68" s="13"/>
      <c r="BA68" s="13"/>
      <c r="BB68" s="13"/>
      <c r="BC68" s="13"/>
      <c r="BD68" s="13"/>
      <c r="BE68" s="13"/>
      <c r="BF68" s="13">
        <v>41.4</v>
      </c>
      <c r="BG68" s="13"/>
      <c r="BH68" s="13"/>
      <c r="BI68" s="13"/>
      <c r="BJ68" s="13"/>
      <c r="BK68" s="13"/>
      <c r="BL68" s="13">
        <v>45</v>
      </c>
      <c r="BM68" s="13">
        <f t="shared" si="15"/>
        <v>45</v>
      </c>
      <c r="BN68" s="22">
        <f t="shared" si="16"/>
        <v>45</v>
      </c>
      <c r="BO68" s="23" t="str">
        <f t="shared" si="17"/>
        <v>ok</v>
      </c>
      <c r="BP68" s="22">
        <f t="shared" si="18"/>
        <v>99</v>
      </c>
      <c r="BQ68" s="22" t="str">
        <f t="shared" si="19"/>
        <v>ok</v>
      </c>
      <c r="BR68" s="56"/>
    </row>
    <row r="69" spans="1:70" s="12" customFormat="1" ht="24.95" customHeight="1" x14ac:dyDescent="0.25">
      <c r="A69" s="4" t="s">
        <v>155</v>
      </c>
      <c r="B69" s="15" t="s">
        <v>156</v>
      </c>
      <c r="C69" s="5">
        <v>70006</v>
      </c>
      <c r="D69" s="5" t="s">
        <v>730</v>
      </c>
      <c r="E69" s="16" t="s">
        <v>797</v>
      </c>
      <c r="F69" s="16">
        <v>1</v>
      </c>
      <c r="G69" s="16">
        <v>1</v>
      </c>
      <c r="H69" s="16" t="s">
        <v>27</v>
      </c>
      <c r="I69" s="16" t="s">
        <v>14</v>
      </c>
      <c r="J69" s="17"/>
      <c r="K69" s="17"/>
      <c r="L69" s="17"/>
      <c r="M69" s="17"/>
      <c r="N69" s="17"/>
      <c r="O69" s="13"/>
      <c r="P69" s="13"/>
      <c r="Q69" s="13">
        <v>35</v>
      </c>
      <c r="R69" s="6">
        <v>10</v>
      </c>
      <c r="S69" s="7">
        <v>0.08</v>
      </c>
      <c r="T69" s="62">
        <v>45</v>
      </c>
      <c r="U69" s="16">
        <v>688.5</v>
      </c>
      <c r="V69" s="16"/>
      <c r="W69" s="16">
        <v>223.5</v>
      </c>
      <c r="X69" s="18">
        <v>223.5</v>
      </c>
      <c r="Y69" s="16">
        <f t="shared" si="20"/>
        <v>0</v>
      </c>
      <c r="Z69" s="16">
        <f t="shared" si="21"/>
        <v>688.5</v>
      </c>
      <c r="AA69" s="4">
        <v>20</v>
      </c>
      <c r="AB69" s="4">
        <v>0</v>
      </c>
      <c r="AC69" s="4">
        <v>45</v>
      </c>
      <c r="AD69" s="4">
        <v>0</v>
      </c>
      <c r="AE69" s="19">
        <v>65</v>
      </c>
      <c r="AF69" s="13">
        <f t="shared" si="22"/>
        <v>2</v>
      </c>
      <c r="AG69" s="20">
        <f t="shared" si="14"/>
        <v>46032</v>
      </c>
      <c r="AH69" s="13">
        <v>45</v>
      </c>
      <c r="AI69" s="13"/>
      <c r="AJ69" s="13"/>
      <c r="AK69" s="13"/>
      <c r="AL69" s="13">
        <v>45</v>
      </c>
      <c r="AM69" s="13"/>
      <c r="AN69" s="13"/>
      <c r="AO69" s="13"/>
      <c r="AP69" s="13">
        <v>45</v>
      </c>
      <c r="AQ69" s="13">
        <v>45</v>
      </c>
      <c r="AR69" s="13"/>
      <c r="AS69" s="13">
        <v>45</v>
      </c>
      <c r="AT69" s="13">
        <v>45</v>
      </c>
      <c r="AU69" s="13"/>
      <c r="AV69" s="21"/>
      <c r="AW69" s="13">
        <v>45</v>
      </c>
      <c r="AX69" s="13">
        <v>45</v>
      </c>
      <c r="AY69" s="13">
        <v>45</v>
      </c>
      <c r="AZ69" s="13"/>
      <c r="BA69" s="13">
        <v>45</v>
      </c>
      <c r="BB69" s="13"/>
      <c r="BC69" s="13">
        <v>45</v>
      </c>
      <c r="BD69" s="13">
        <v>45</v>
      </c>
      <c r="BE69" s="13"/>
      <c r="BF69" s="13">
        <v>13.5</v>
      </c>
      <c r="BG69" s="13"/>
      <c r="BH69" s="13"/>
      <c r="BI69" s="13">
        <v>45</v>
      </c>
      <c r="BJ69" s="13">
        <v>45</v>
      </c>
      <c r="BK69" s="13"/>
      <c r="BL69" s="13">
        <v>45</v>
      </c>
      <c r="BM69" s="13">
        <f t="shared" si="15"/>
        <v>45</v>
      </c>
      <c r="BN69" s="22">
        <f t="shared" si="16"/>
        <v>45</v>
      </c>
      <c r="BO69" s="23" t="str">
        <f t="shared" si="17"/>
        <v>ok</v>
      </c>
      <c r="BP69" s="22">
        <f t="shared" si="18"/>
        <v>223.5</v>
      </c>
      <c r="BQ69" s="22" t="str">
        <f t="shared" si="19"/>
        <v>ok</v>
      </c>
      <c r="BR69" s="56"/>
    </row>
    <row r="70" spans="1:70" s="12" customFormat="1" ht="24.95" customHeight="1" x14ac:dyDescent="0.25">
      <c r="A70" s="4" t="s">
        <v>157</v>
      </c>
      <c r="B70" s="15" t="s">
        <v>158</v>
      </c>
      <c r="C70" s="5">
        <v>70006</v>
      </c>
      <c r="D70" s="5" t="s">
        <v>730</v>
      </c>
      <c r="E70" s="16" t="s">
        <v>798</v>
      </c>
      <c r="F70" s="16">
        <v>1</v>
      </c>
      <c r="G70" s="16">
        <v>1</v>
      </c>
      <c r="H70" s="16" t="s">
        <v>27</v>
      </c>
      <c r="I70" s="16" t="s">
        <v>14</v>
      </c>
      <c r="J70" s="17"/>
      <c r="K70" s="17"/>
      <c r="L70" s="17"/>
      <c r="M70" s="17"/>
      <c r="N70" s="17"/>
      <c r="O70" s="13"/>
      <c r="P70" s="13"/>
      <c r="Q70" s="13">
        <v>75</v>
      </c>
      <c r="R70" s="6">
        <v>10</v>
      </c>
      <c r="S70" s="7">
        <v>0.08</v>
      </c>
      <c r="T70" s="62">
        <v>45</v>
      </c>
      <c r="U70" s="16">
        <v>329.40000000000003</v>
      </c>
      <c r="V70" s="16"/>
      <c r="W70" s="16">
        <v>172.5</v>
      </c>
      <c r="X70" s="18">
        <v>172.5</v>
      </c>
      <c r="Y70" s="16">
        <f t="shared" si="20"/>
        <v>0</v>
      </c>
      <c r="Z70" s="16">
        <f t="shared" si="21"/>
        <v>329.4</v>
      </c>
      <c r="AA70" s="4">
        <v>0</v>
      </c>
      <c r="AB70" s="4">
        <v>0</v>
      </c>
      <c r="AC70" s="4">
        <v>0</v>
      </c>
      <c r="AD70" s="4">
        <v>0</v>
      </c>
      <c r="AE70" s="19">
        <v>0</v>
      </c>
      <c r="AF70" s="13">
        <f t="shared" si="22"/>
        <v>2</v>
      </c>
      <c r="AG70" s="20">
        <f t="shared" si="14"/>
        <v>46031</v>
      </c>
      <c r="AH70" s="13"/>
      <c r="AI70" s="13"/>
      <c r="AJ70" s="13"/>
      <c r="AK70" s="13">
        <v>45</v>
      </c>
      <c r="AL70" s="13"/>
      <c r="AM70" s="13"/>
      <c r="AN70" s="13">
        <v>45</v>
      </c>
      <c r="AO70" s="13"/>
      <c r="AP70" s="13"/>
      <c r="AQ70" s="13"/>
      <c r="AR70" s="13"/>
      <c r="AS70" s="13"/>
      <c r="AT70" s="13"/>
      <c r="AU70" s="13"/>
      <c r="AV70" s="21"/>
      <c r="AW70" s="13">
        <v>45</v>
      </c>
      <c r="AX70" s="13"/>
      <c r="AY70" s="13">
        <v>45</v>
      </c>
      <c r="AZ70" s="13"/>
      <c r="BA70" s="13"/>
      <c r="BB70" s="13"/>
      <c r="BC70" s="13">
        <v>14.4</v>
      </c>
      <c r="BD70" s="13">
        <v>45</v>
      </c>
      <c r="BE70" s="13"/>
      <c r="BF70" s="13"/>
      <c r="BG70" s="13">
        <v>45</v>
      </c>
      <c r="BH70" s="13"/>
      <c r="BI70" s="13">
        <v>45</v>
      </c>
      <c r="BJ70" s="13"/>
      <c r="BK70" s="13"/>
      <c r="BL70" s="13"/>
      <c r="BM70" s="13">
        <f t="shared" si="15"/>
        <v>5.6843418860808015E-14</v>
      </c>
      <c r="BN70" s="22">
        <f t="shared" si="16"/>
        <v>45</v>
      </c>
      <c r="BO70" s="23" t="str">
        <f t="shared" si="17"/>
        <v>ok</v>
      </c>
      <c r="BP70" s="22">
        <f t="shared" si="18"/>
        <v>172.5</v>
      </c>
      <c r="BQ70" s="22" t="str">
        <f t="shared" si="19"/>
        <v>ok</v>
      </c>
      <c r="BR70" s="56"/>
    </row>
    <row r="71" spans="1:70" s="12" customFormat="1" ht="24.95" customHeight="1" x14ac:dyDescent="0.25">
      <c r="A71" s="4" t="s">
        <v>159</v>
      </c>
      <c r="B71" s="15" t="s">
        <v>160</v>
      </c>
      <c r="C71" s="5">
        <v>70006</v>
      </c>
      <c r="D71" s="5" t="s">
        <v>730</v>
      </c>
      <c r="E71" s="16" t="s">
        <v>799</v>
      </c>
      <c r="F71" s="16">
        <v>1</v>
      </c>
      <c r="G71" s="16">
        <v>1</v>
      </c>
      <c r="H71" s="16" t="s">
        <v>27</v>
      </c>
      <c r="I71" s="16" t="s">
        <v>14</v>
      </c>
      <c r="J71" s="17"/>
      <c r="K71" s="17"/>
      <c r="L71" s="17"/>
      <c r="M71" s="17"/>
      <c r="N71" s="17"/>
      <c r="O71" s="13"/>
      <c r="P71" s="13"/>
      <c r="Q71" s="13">
        <v>19</v>
      </c>
      <c r="R71" s="6">
        <v>9</v>
      </c>
      <c r="S71" s="7">
        <v>0.08</v>
      </c>
      <c r="T71" s="62">
        <v>45</v>
      </c>
      <c r="U71" s="16">
        <v>1053</v>
      </c>
      <c r="V71" s="16"/>
      <c r="W71" s="16">
        <v>226.5</v>
      </c>
      <c r="X71" s="18">
        <v>226.5</v>
      </c>
      <c r="Y71" s="16">
        <f t="shared" si="20"/>
        <v>0</v>
      </c>
      <c r="Z71" s="16">
        <f t="shared" si="21"/>
        <v>1053</v>
      </c>
      <c r="AA71" s="4">
        <v>45</v>
      </c>
      <c r="AB71" s="4">
        <v>45</v>
      </c>
      <c r="AC71" s="4">
        <v>45</v>
      </c>
      <c r="AD71" s="4">
        <v>45</v>
      </c>
      <c r="AE71" s="19">
        <v>180</v>
      </c>
      <c r="AF71" s="13">
        <f t="shared" si="22"/>
        <v>2</v>
      </c>
      <c r="AG71" s="20">
        <f t="shared" si="14"/>
        <v>46033</v>
      </c>
      <c r="AH71" s="13">
        <v>45</v>
      </c>
      <c r="AI71" s="13">
        <v>45</v>
      </c>
      <c r="AJ71" s="13">
        <v>45</v>
      </c>
      <c r="AK71" s="13">
        <v>45</v>
      </c>
      <c r="AL71" s="13">
        <v>45</v>
      </c>
      <c r="AM71" s="13">
        <v>45</v>
      </c>
      <c r="AN71" s="13">
        <v>45</v>
      </c>
      <c r="AO71" s="13">
        <v>45</v>
      </c>
      <c r="AP71" s="13">
        <v>45</v>
      </c>
      <c r="AQ71" s="13">
        <v>45</v>
      </c>
      <c r="AR71" s="13"/>
      <c r="AS71" s="13">
        <v>45</v>
      </c>
      <c r="AT71" s="13">
        <v>45</v>
      </c>
      <c r="AU71" s="13">
        <v>45</v>
      </c>
      <c r="AV71" s="21">
        <v>45</v>
      </c>
      <c r="AW71" s="13">
        <v>45</v>
      </c>
      <c r="AX71" s="13"/>
      <c r="AY71" s="13">
        <v>45</v>
      </c>
      <c r="AZ71" s="13">
        <v>45</v>
      </c>
      <c r="BA71" s="13">
        <v>45</v>
      </c>
      <c r="BB71" s="13">
        <v>45</v>
      </c>
      <c r="BC71" s="13">
        <v>45</v>
      </c>
      <c r="BD71" s="13"/>
      <c r="BE71" s="13">
        <v>45</v>
      </c>
      <c r="BF71" s="13"/>
      <c r="BG71" s="13">
        <v>45</v>
      </c>
      <c r="BH71" s="13">
        <v>18</v>
      </c>
      <c r="BI71" s="13"/>
      <c r="BJ71" s="13"/>
      <c r="BK71" s="13">
        <v>45</v>
      </c>
      <c r="BL71" s="13"/>
      <c r="BM71" s="13">
        <f t="shared" si="15"/>
        <v>45</v>
      </c>
      <c r="BN71" s="22">
        <f t="shared" si="16"/>
        <v>45</v>
      </c>
      <c r="BO71" s="23" t="str">
        <f t="shared" si="17"/>
        <v>ok</v>
      </c>
      <c r="BP71" s="22">
        <f t="shared" si="18"/>
        <v>226.5</v>
      </c>
      <c r="BQ71" s="22" t="str">
        <f t="shared" si="19"/>
        <v>ok</v>
      </c>
      <c r="BR71" s="56"/>
    </row>
    <row r="72" spans="1:70" s="12" customFormat="1" ht="24.95" customHeight="1" x14ac:dyDescent="0.25">
      <c r="A72" s="4" t="s">
        <v>161</v>
      </c>
      <c r="B72" s="15" t="s">
        <v>162</v>
      </c>
      <c r="C72" s="5">
        <v>70006</v>
      </c>
      <c r="D72" s="5" t="s">
        <v>730</v>
      </c>
      <c r="E72" s="16" t="s">
        <v>800</v>
      </c>
      <c r="F72" s="16">
        <v>1</v>
      </c>
      <c r="G72" s="16">
        <v>0</v>
      </c>
      <c r="H72" s="16" t="s">
        <v>27</v>
      </c>
      <c r="I72" s="16" t="s">
        <v>14</v>
      </c>
      <c r="J72" s="17"/>
      <c r="K72" s="17"/>
      <c r="L72" s="17"/>
      <c r="M72" s="17"/>
      <c r="N72" s="17"/>
      <c r="O72" s="13"/>
      <c r="P72" s="13"/>
      <c r="Q72" s="13">
        <v>45</v>
      </c>
      <c r="R72" s="6">
        <v>9</v>
      </c>
      <c r="S72" s="7">
        <v>0.08</v>
      </c>
      <c r="T72" s="62">
        <v>45</v>
      </c>
      <c r="U72" s="16">
        <v>171</v>
      </c>
      <c r="V72" s="16"/>
      <c r="W72" s="16">
        <v>139.5</v>
      </c>
      <c r="X72" s="18">
        <v>139.5</v>
      </c>
      <c r="Y72" s="16">
        <f t="shared" si="20"/>
        <v>0</v>
      </c>
      <c r="Z72" s="16">
        <f t="shared" si="21"/>
        <v>171</v>
      </c>
      <c r="AA72" s="4">
        <v>0</v>
      </c>
      <c r="AB72" s="4">
        <v>0</v>
      </c>
      <c r="AC72" s="4">
        <v>0</v>
      </c>
      <c r="AD72" s="4">
        <v>0</v>
      </c>
      <c r="AE72" s="19">
        <v>0</v>
      </c>
      <c r="AF72" s="13">
        <f t="shared" si="22"/>
        <v>2</v>
      </c>
      <c r="AG72" s="20">
        <f t="shared" si="14"/>
        <v>46031</v>
      </c>
      <c r="AH72" s="24"/>
      <c r="AI72" s="24">
        <v>45</v>
      </c>
      <c r="AJ72" s="24">
        <v>45</v>
      </c>
      <c r="AK72" s="24"/>
      <c r="AL72" s="24"/>
      <c r="AM72" s="24"/>
      <c r="AN72" s="24"/>
      <c r="AO72" s="24">
        <v>45</v>
      </c>
      <c r="AP72" s="24"/>
      <c r="AQ72" s="24"/>
      <c r="AR72" s="24"/>
      <c r="AS72" s="24"/>
      <c r="AT72" s="24"/>
      <c r="AU72" s="24"/>
      <c r="AV72" s="24"/>
      <c r="AW72" s="24"/>
      <c r="AX72" s="24"/>
      <c r="AY72" s="13"/>
      <c r="AZ72" s="13"/>
      <c r="BA72" s="13"/>
      <c r="BB72" s="13"/>
      <c r="BC72" s="13"/>
      <c r="BD72" s="13">
        <v>36</v>
      </c>
      <c r="BE72" s="13"/>
      <c r="BF72" s="13"/>
      <c r="BG72" s="13"/>
      <c r="BH72" s="13"/>
      <c r="BI72" s="13"/>
      <c r="BJ72" s="13"/>
      <c r="BK72" s="13"/>
      <c r="BL72" s="13"/>
      <c r="BM72" s="13">
        <f t="shared" si="15"/>
        <v>0</v>
      </c>
      <c r="BN72" s="22">
        <f t="shared" si="16"/>
        <v>45</v>
      </c>
      <c r="BO72" s="23" t="str">
        <f t="shared" si="17"/>
        <v>ok</v>
      </c>
      <c r="BP72" s="22">
        <f t="shared" si="18"/>
        <v>139.5</v>
      </c>
      <c r="BQ72" s="22" t="str">
        <f t="shared" si="19"/>
        <v>ok</v>
      </c>
      <c r="BR72" s="56"/>
    </row>
    <row r="73" spans="1:70" s="12" customFormat="1" ht="24.95" customHeight="1" x14ac:dyDescent="0.25">
      <c r="A73" s="4" t="s">
        <v>163</v>
      </c>
      <c r="B73" s="15" t="s">
        <v>164</v>
      </c>
      <c r="C73" s="5">
        <v>70006</v>
      </c>
      <c r="D73" s="5" t="s">
        <v>730</v>
      </c>
      <c r="E73" s="16" t="s">
        <v>801</v>
      </c>
      <c r="F73" s="16">
        <v>1</v>
      </c>
      <c r="G73" s="16">
        <v>1</v>
      </c>
      <c r="H73" s="16" t="s">
        <v>27</v>
      </c>
      <c r="I73" s="16" t="s">
        <v>14</v>
      </c>
      <c r="J73" s="17"/>
      <c r="K73" s="17"/>
      <c r="L73" s="17"/>
      <c r="M73" s="17"/>
      <c r="N73" s="17"/>
      <c r="O73" s="13"/>
      <c r="P73" s="13"/>
      <c r="Q73" s="13">
        <v>46</v>
      </c>
      <c r="R73" s="6">
        <v>9</v>
      </c>
      <c r="S73" s="7">
        <v>0.08</v>
      </c>
      <c r="T73" s="62">
        <v>45</v>
      </c>
      <c r="U73" s="16">
        <v>567</v>
      </c>
      <c r="V73" s="16"/>
      <c r="W73" s="16">
        <v>193.5</v>
      </c>
      <c r="X73" s="18">
        <v>193.5</v>
      </c>
      <c r="Y73" s="16">
        <f t="shared" si="20"/>
        <v>0</v>
      </c>
      <c r="Z73" s="16">
        <f t="shared" si="21"/>
        <v>567</v>
      </c>
      <c r="AA73" s="4">
        <v>0</v>
      </c>
      <c r="AB73" s="4">
        <v>0</v>
      </c>
      <c r="AC73" s="4">
        <v>45</v>
      </c>
      <c r="AD73" s="4">
        <v>0</v>
      </c>
      <c r="AE73" s="19">
        <v>45</v>
      </c>
      <c r="AF73" s="13">
        <f t="shared" si="22"/>
        <v>2</v>
      </c>
      <c r="AG73" s="20">
        <f t="shared" si="14"/>
        <v>46032</v>
      </c>
      <c r="AH73" s="13">
        <v>45</v>
      </c>
      <c r="AI73" s="13"/>
      <c r="AJ73" s="13"/>
      <c r="AK73" s="13"/>
      <c r="AL73" s="13">
        <v>45</v>
      </c>
      <c r="AM73" s="13"/>
      <c r="AN73" s="13">
        <v>45</v>
      </c>
      <c r="AO73" s="13"/>
      <c r="AP73" s="13">
        <v>45</v>
      </c>
      <c r="AQ73" s="13"/>
      <c r="AR73" s="13">
        <v>45</v>
      </c>
      <c r="AS73" s="13"/>
      <c r="AT73" s="13"/>
      <c r="AU73" s="13"/>
      <c r="AV73" s="21"/>
      <c r="AW73" s="13"/>
      <c r="AX73" s="13">
        <v>45</v>
      </c>
      <c r="AY73" s="13">
        <v>45</v>
      </c>
      <c r="AZ73" s="13"/>
      <c r="BA73" s="13">
        <v>45</v>
      </c>
      <c r="BB73" s="13"/>
      <c r="BC73" s="13">
        <v>45</v>
      </c>
      <c r="BD73" s="13">
        <v>45</v>
      </c>
      <c r="BE73" s="13"/>
      <c r="BF73" s="13"/>
      <c r="BG73" s="13">
        <v>45</v>
      </c>
      <c r="BH73" s="13">
        <v>27</v>
      </c>
      <c r="BI73" s="13"/>
      <c r="BJ73" s="13">
        <v>45</v>
      </c>
      <c r="BK73" s="13"/>
      <c r="BL73" s="13"/>
      <c r="BM73" s="13">
        <f t="shared" si="15"/>
        <v>0</v>
      </c>
      <c r="BN73" s="22">
        <f t="shared" si="16"/>
        <v>45</v>
      </c>
      <c r="BO73" s="23" t="str">
        <f t="shared" si="17"/>
        <v>ok</v>
      </c>
      <c r="BP73" s="22">
        <f t="shared" si="18"/>
        <v>193.5</v>
      </c>
      <c r="BQ73" s="22" t="str">
        <f t="shared" si="19"/>
        <v>ok</v>
      </c>
      <c r="BR73" s="56"/>
    </row>
    <row r="74" spans="1:70" s="12" customFormat="1" ht="24.95" customHeight="1" x14ac:dyDescent="0.25">
      <c r="A74" s="4" t="s">
        <v>165</v>
      </c>
      <c r="B74" s="15" t="s">
        <v>166</v>
      </c>
      <c r="C74" s="5">
        <v>70006</v>
      </c>
      <c r="D74" s="5" t="s">
        <v>730</v>
      </c>
      <c r="E74" s="16" t="s">
        <v>774</v>
      </c>
      <c r="F74" s="16">
        <v>2</v>
      </c>
      <c r="G74" s="16">
        <v>1</v>
      </c>
      <c r="H74" s="16" t="s">
        <v>26</v>
      </c>
      <c r="I74" s="16" t="s">
        <v>14</v>
      </c>
      <c r="J74" s="17"/>
      <c r="K74" s="17"/>
      <c r="L74" s="17"/>
      <c r="M74" s="17"/>
      <c r="N74" s="17"/>
      <c r="O74" s="13"/>
      <c r="P74" s="13"/>
      <c r="Q74" s="13">
        <v>21</v>
      </c>
      <c r="R74" s="6">
        <v>10</v>
      </c>
      <c r="S74" s="7">
        <v>0.08</v>
      </c>
      <c r="T74" s="62">
        <v>33</v>
      </c>
      <c r="U74" s="16">
        <v>148.5</v>
      </c>
      <c r="V74" s="16"/>
      <c r="W74" s="16">
        <v>171</v>
      </c>
      <c r="X74" s="18">
        <v>171</v>
      </c>
      <c r="Y74" s="16">
        <f t="shared" si="20"/>
        <v>0</v>
      </c>
      <c r="Z74" s="16">
        <f t="shared" si="21"/>
        <v>148.5</v>
      </c>
      <c r="AA74" s="4">
        <v>0</v>
      </c>
      <c r="AB74" s="4">
        <v>0</v>
      </c>
      <c r="AC74" s="4">
        <v>10</v>
      </c>
      <c r="AD74" s="4">
        <v>0</v>
      </c>
      <c r="AE74" s="19">
        <v>10</v>
      </c>
      <c r="AF74" s="13">
        <f t="shared" si="22"/>
        <v>2</v>
      </c>
      <c r="AG74" s="20">
        <f t="shared" si="14"/>
        <v>46032</v>
      </c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>
        <v>33</v>
      </c>
      <c r="AW74" s="24"/>
      <c r="AX74" s="24"/>
      <c r="AY74" s="13"/>
      <c r="AZ74" s="13"/>
      <c r="BA74" s="13"/>
      <c r="BB74" s="13">
        <v>33</v>
      </c>
      <c r="BC74" s="13">
        <v>16.5</v>
      </c>
      <c r="BD74" s="13">
        <v>33</v>
      </c>
      <c r="BE74" s="13"/>
      <c r="BF74" s="13"/>
      <c r="BG74" s="13"/>
      <c r="BH74" s="13"/>
      <c r="BI74" s="13"/>
      <c r="BJ74" s="13"/>
      <c r="BK74" s="13">
        <v>33</v>
      </c>
      <c r="BL74" s="13"/>
      <c r="BM74" s="13">
        <f t="shared" si="15"/>
        <v>33</v>
      </c>
      <c r="BN74" s="22">
        <f t="shared" si="16"/>
        <v>33</v>
      </c>
      <c r="BO74" s="23" t="str">
        <f t="shared" si="17"/>
        <v>ok</v>
      </c>
      <c r="BP74" s="22">
        <f t="shared" si="18"/>
        <v>171</v>
      </c>
      <c r="BQ74" s="22" t="str">
        <f t="shared" si="19"/>
        <v>ok</v>
      </c>
      <c r="BR74" s="56"/>
    </row>
    <row r="75" spans="1:70" s="12" customFormat="1" ht="24.95" customHeight="1" x14ac:dyDescent="0.25">
      <c r="A75" s="4" t="s">
        <v>167</v>
      </c>
      <c r="B75" s="15" t="s">
        <v>168</v>
      </c>
      <c r="C75" s="5">
        <v>70006</v>
      </c>
      <c r="D75" s="5" t="s">
        <v>730</v>
      </c>
      <c r="E75" s="16" t="s">
        <v>802</v>
      </c>
      <c r="F75" s="16">
        <v>1</v>
      </c>
      <c r="G75" s="16">
        <v>1</v>
      </c>
      <c r="H75" s="16" t="s">
        <v>27</v>
      </c>
      <c r="I75" s="16" t="s">
        <v>14</v>
      </c>
      <c r="J75" s="17"/>
      <c r="K75" s="17"/>
      <c r="L75" s="17"/>
      <c r="M75" s="17"/>
      <c r="N75" s="17"/>
      <c r="O75" s="13"/>
      <c r="P75" s="13"/>
      <c r="Q75" s="13">
        <v>25</v>
      </c>
      <c r="R75" s="6">
        <v>10</v>
      </c>
      <c r="S75" s="7">
        <v>0.08</v>
      </c>
      <c r="T75" s="62">
        <v>45</v>
      </c>
      <c r="U75" s="16">
        <v>648</v>
      </c>
      <c r="V75" s="16"/>
      <c r="W75" s="16">
        <v>268.5</v>
      </c>
      <c r="X75" s="18">
        <v>268.5</v>
      </c>
      <c r="Y75" s="16">
        <f t="shared" si="20"/>
        <v>0</v>
      </c>
      <c r="Z75" s="16">
        <f t="shared" si="21"/>
        <v>648</v>
      </c>
      <c r="AA75" s="4">
        <v>29</v>
      </c>
      <c r="AB75" s="4">
        <v>10</v>
      </c>
      <c r="AC75" s="4">
        <v>0</v>
      </c>
      <c r="AD75" s="4">
        <v>0</v>
      </c>
      <c r="AE75" s="19">
        <v>39</v>
      </c>
      <c r="AF75" s="13">
        <f t="shared" si="22"/>
        <v>2</v>
      </c>
      <c r="AG75" s="20">
        <f t="shared" si="14"/>
        <v>46031</v>
      </c>
      <c r="AH75" s="13">
        <v>45</v>
      </c>
      <c r="AI75" s="13"/>
      <c r="AJ75" s="13"/>
      <c r="AK75" s="13"/>
      <c r="AL75" s="13">
        <v>45</v>
      </c>
      <c r="AM75" s="13"/>
      <c r="AN75" s="13"/>
      <c r="AO75" s="13"/>
      <c r="AP75" s="13">
        <v>45</v>
      </c>
      <c r="AQ75" s="13">
        <v>45</v>
      </c>
      <c r="AR75" s="13"/>
      <c r="AS75" s="13">
        <v>45</v>
      </c>
      <c r="AT75" s="13">
        <v>45</v>
      </c>
      <c r="AU75" s="13"/>
      <c r="AV75" s="21"/>
      <c r="AW75" s="13">
        <v>45</v>
      </c>
      <c r="AX75" s="13">
        <v>45</v>
      </c>
      <c r="AY75" s="13">
        <v>45</v>
      </c>
      <c r="AZ75" s="13"/>
      <c r="BA75" s="13">
        <v>45</v>
      </c>
      <c r="BB75" s="13"/>
      <c r="BC75" s="13">
        <v>45</v>
      </c>
      <c r="BD75" s="13">
        <v>45</v>
      </c>
      <c r="BE75" s="13"/>
      <c r="BF75" s="13"/>
      <c r="BG75" s="13"/>
      <c r="BH75" s="13"/>
      <c r="BI75" s="13">
        <v>45</v>
      </c>
      <c r="BJ75" s="13">
        <v>45</v>
      </c>
      <c r="BK75" s="13"/>
      <c r="BL75" s="13">
        <v>18</v>
      </c>
      <c r="BM75" s="13">
        <f t="shared" si="15"/>
        <v>18</v>
      </c>
      <c r="BN75" s="22">
        <f t="shared" si="16"/>
        <v>45</v>
      </c>
      <c r="BO75" s="23" t="str">
        <f t="shared" si="17"/>
        <v>ok</v>
      </c>
      <c r="BP75" s="22">
        <f t="shared" si="18"/>
        <v>268.5</v>
      </c>
      <c r="BQ75" s="22" t="str">
        <f t="shared" si="19"/>
        <v>ok</v>
      </c>
      <c r="BR75" s="56"/>
    </row>
    <row r="76" spans="1:70" s="12" customFormat="1" ht="24.95" customHeight="1" x14ac:dyDescent="0.25">
      <c r="A76" s="4" t="s">
        <v>169</v>
      </c>
      <c r="B76" s="15" t="s">
        <v>170</v>
      </c>
      <c r="C76" s="5">
        <v>70006</v>
      </c>
      <c r="D76" s="5" t="s">
        <v>730</v>
      </c>
      <c r="E76" s="16" t="s">
        <v>803</v>
      </c>
      <c r="F76" s="16">
        <v>1</v>
      </c>
      <c r="G76" s="16">
        <v>1</v>
      </c>
      <c r="H76" s="16" t="s">
        <v>27</v>
      </c>
      <c r="I76" s="16" t="s">
        <v>14</v>
      </c>
      <c r="J76" s="17"/>
      <c r="K76" s="17"/>
      <c r="L76" s="17"/>
      <c r="M76" s="17"/>
      <c r="N76" s="17"/>
      <c r="O76" s="13"/>
      <c r="P76" s="13"/>
      <c r="Q76" s="13">
        <v>14</v>
      </c>
      <c r="R76" s="6">
        <v>10</v>
      </c>
      <c r="S76" s="7">
        <v>0.08</v>
      </c>
      <c r="T76" s="62">
        <v>45</v>
      </c>
      <c r="U76" s="16">
        <v>364.5</v>
      </c>
      <c r="V76" s="16"/>
      <c r="W76" s="16">
        <v>337.5</v>
      </c>
      <c r="X76" s="18">
        <v>337.5</v>
      </c>
      <c r="Y76" s="16">
        <f t="shared" si="20"/>
        <v>-4.5</v>
      </c>
      <c r="Z76" s="16">
        <f t="shared" si="21"/>
        <v>360</v>
      </c>
      <c r="AA76" s="4">
        <v>0</v>
      </c>
      <c r="AB76" s="4">
        <v>0</v>
      </c>
      <c r="AC76" s="4">
        <v>0</v>
      </c>
      <c r="AD76" s="4">
        <v>0</v>
      </c>
      <c r="AE76" s="19">
        <v>0</v>
      </c>
      <c r="AF76" s="13">
        <f t="shared" si="22"/>
        <v>2</v>
      </c>
      <c r="AG76" s="20">
        <f t="shared" si="14"/>
        <v>46031</v>
      </c>
      <c r="AH76" s="24">
        <v>45</v>
      </c>
      <c r="AI76" s="24"/>
      <c r="AJ76" s="24"/>
      <c r="AK76" s="24"/>
      <c r="AL76" s="24"/>
      <c r="AM76" s="24"/>
      <c r="AN76" s="24"/>
      <c r="AO76" s="24">
        <v>45</v>
      </c>
      <c r="AP76" s="24">
        <v>45</v>
      </c>
      <c r="AQ76" s="24"/>
      <c r="AR76" s="24"/>
      <c r="AS76" s="24"/>
      <c r="AT76" s="24"/>
      <c r="AU76" s="24"/>
      <c r="AV76" s="24">
        <v>45</v>
      </c>
      <c r="AW76" s="24"/>
      <c r="AX76" s="24"/>
      <c r="AY76" s="13"/>
      <c r="AZ76" s="13">
        <v>45</v>
      </c>
      <c r="BA76" s="13">
        <v>45</v>
      </c>
      <c r="BB76" s="13"/>
      <c r="BC76" s="24"/>
      <c r="BD76" s="13"/>
      <c r="BE76" s="13">
        <v>45</v>
      </c>
      <c r="BF76" s="13"/>
      <c r="BG76" s="13"/>
      <c r="BH76" s="13"/>
      <c r="BI76" s="13"/>
      <c r="BJ76" s="13"/>
      <c r="BK76" s="13"/>
      <c r="BL76" s="13">
        <v>45</v>
      </c>
      <c r="BM76" s="13">
        <f t="shared" si="15"/>
        <v>49.5</v>
      </c>
      <c r="BN76" s="22">
        <f t="shared" si="16"/>
        <v>45</v>
      </c>
      <c r="BO76" s="23" t="str">
        <f t="shared" si="17"/>
        <v>ok</v>
      </c>
      <c r="BP76" s="22">
        <f t="shared" si="18"/>
        <v>337.5</v>
      </c>
      <c r="BQ76" s="22" t="str">
        <f t="shared" si="19"/>
        <v>ok</v>
      </c>
      <c r="BR76" s="56" t="s">
        <v>28</v>
      </c>
    </row>
    <row r="77" spans="1:70" s="12" customFormat="1" ht="24.95" customHeight="1" x14ac:dyDescent="0.25">
      <c r="A77" s="4" t="s">
        <v>171</v>
      </c>
      <c r="B77" s="15" t="s">
        <v>172</v>
      </c>
      <c r="C77" s="5">
        <v>70006</v>
      </c>
      <c r="D77" s="5" t="s">
        <v>730</v>
      </c>
      <c r="E77" s="16" t="s">
        <v>776</v>
      </c>
      <c r="F77" s="16">
        <v>2</v>
      </c>
      <c r="G77" s="16">
        <v>0</v>
      </c>
      <c r="H77" s="16" t="s">
        <v>26</v>
      </c>
      <c r="I77" s="16" t="s">
        <v>14</v>
      </c>
      <c r="J77" s="17"/>
      <c r="K77" s="17"/>
      <c r="L77" s="17"/>
      <c r="M77" s="17"/>
      <c r="N77" s="17"/>
      <c r="O77" s="13"/>
      <c r="P77" s="13"/>
      <c r="Q77" s="13">
        <v>24</v>
      </c>
      <c r="R77" s="6">
        <v>8</v>
      </c>
      <c r="S77" s="7">
        <v>0.08</v>
      </c>
      <c r="T77" s="62">
        <v>33</v>
      </c>
      <c r="U77" s="16">
        <v>89.100000000000009</v>
      </c>
      <c r="V77" s="16"/>
      <c r="W77" s="16">
        <v>94.5</v>
      </c>
      <c r="X77" s="18">
        <v>94.5</v>
      </c>
      <c r="Y77" s="16">
        <f t="shared" si="20"/>
        <v>0</v>
      </c>
      <c r="Z77" s="16">
        <f t="shared" si="21"/>
        <v>89.1</v>
      </c>
      <c r="AA77" s="4">
        <v>0</v>
      </c>
      <c r="AB77" s="4">
        <v>43</v>
      </c>
      <c r="AC77" s="4">
        <v>0</v>
      </c>
      <c r="AD77" s="4">
        <v>0</v>
      </c>
      <c r="AE77" s="19">
        <v>43</v>
      </c>
      <c r="AF77" s="13">
        <f t="shared" si="22"/>
        <v>2</v>
      </c>
      <c r="AG77" s="20">
        <f t="shared" si="14"/>
        <v>46031</v>
      </c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13"/>
      <c r="AZ77" s="13"/>
      <c r="BA77" s="13"/>
      <c r="BB77" s="13"/>
      <c r="BC77" s="13">
        <v>23.1</v>
      </c>
      <c r="BD77" s="13"/>
      <c r="BE77" s="13"/>
      <c r="BF77" s="13">
        <v>33</v>
      </c>
      <c r="BG77" s="13"/>
      <c r="BH77" s="13"/>
      <c r="BI77" s="13"/>
      <c r="BJ77" s="13"/>
      <c r="BK77" s="13"/>
      <c r="BL77" s="13">
        <v>33</v>
      </c>
      <c r="BM77" s="13">
        <f t="shared" si="15"/>
        <v>33.000000000000007</v>
      </c>
      <c r="BN77" s="22">
        <f t="shared" si="16"/>
        <v>33</v>
      </c>
      <c r="BO77" s="23" t="str">
        <f t="shared" si="17"/>
        <v>ok</v>
      </c>
      <c r="BP77" s="22">
        <f t="shared" si="18"/>
        <v>94.5</v>
      </c>
      <c r="BQ77" s="22" t="str">
        <f t="shared" si="19"/>
        <v>ok</v>
      </c>
      <c r="BR77" s="56"/>
    </row>
    <row r="78" spans="1:70" s="12" customFormat="1" ht="24.95" customHeight="1" x14ac:dyDescent="0.25">
      <c r="A78" s="4" t="s">
        <v>173</v>
      </c>
      <c r="B78" s="15" t="s">
        <v>174</v>
      </c>
      <c r="C78" s="5">
        <v>70006</v>
      </c>
      <c r="D78" s="5" t="s">
        <v>730</v>
      </c>
      <c r="E78" s="16" t="s">
        <v>804</v>
      </c>
      <c r="F78" s="16">
        <v>1</v>
      </c>
      <c r="G78" s="16">
        <v>1</v>
      </c>
      <c r="H78" s="16" t="s">
        <v>27</v>
      </c>
      <c r="I78" s="16" t="s">
        <v>14</v>
      </c>
      <c r="J78" s="17"/>
      <c r="K78" s="17"/>
      <c r="L78" s="17"/>
      <c r="M78" s="17"/>
      <c r="N78" s="17"/>
      <c r="O78" s="13"/>
      <c r="P78" s="13"/>
      <c r="Q78" s="13">
        <v>47</v>
      </c>
      <c r="R78" s="6">
        <v>10</v>
      </c>
      <c r="S78" s="7">
        <v>0.08</v>
      </c>
      <c r="T78" s="62">
        <v>45</v>
      </c>
      <c r="U78" s="16">
        <v>144</v>
      </c>
      <c r="V78" s="16"/>
      <c r="W78" s="16">
        <v>165</v>
      </c>
      <c r="X78" s="18">
        <v>165</v>
      </c>
      <c r="Y78" s="16">
        <f t="shared" si="20"/>
        <v>-9</v>
      </c>
      <c r="Z78" s="16">
        <f t="shared" si="21"/>
        <v>135</v>
      </c>
      <c r="AA78" s="4">
        <v>0</v>
      </c>
      <c r="AB78" s="4">
        <v>0</v>
      </c>
      <c r="AC78" s="4">
        <v>15</v>
      </c>
      <c r="AD78" s="4">
        <v>0</v>
      </c>
      <c r="AE78" s="19">
        <v>15</v>
      </c>
      <c r="AF78" s="13">
        <f t="shared" si="22"/>
        <v>2</v>
      </c>
      <c r="AG78" s="20">
        <f t="shared" si="14"/>
        <v>46032</v>
      </c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>
        <v>45</v>
      </c>
      <c r="AU78" s="24"/>
      <c r="AV78" s="24"/>
      <c r="AW78" s="24"/>
      <c r="AX78" s="24">
        <v>45</v>
      </c>
      <c r="AY78" s="13"/>
      <c r="AZ78" s="13"/>
      <c r="BA78" s="13">
        <v>45</v>
      </c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>
        <f t="shared" si="15"/>
        <v>9</v>
      </c>
      <c r="BN78" s="22">
        <f t="shared" si="16"/>
        <v>45</v>
      </c>
      <c r="BO78" s="23" t="str">
        <f t="shared" si="17"/>
        <v>ok</v>
      </c>
      <c r="BP78" s="22">
        <f t="shared" si="18"/>
        <v>165</v>
      </c>
      <c r="BQ78" s="22" t="str">
        <f t="shared" si="19"/>
        <v>ok</v>
      </c>
      <c r="BR78" s="56" t="s">
        <v>28</v>
      </c>
    </row>
    <row r="79" spans="1:70" s="12" customFormat="1" ht="24.95" customHeight="1" x14ac:dyDescent="0.25">
      <c r="A79" s="4" t="s">
        <v>175</v>
      </c>
      <c r="B79" s="15" t="s">
        <v>176</v>
      </c>
      <c r="C79" s="5">
        <v>70006</v>
      </c>
      <c r="D79" s="5" t="s">
        <v>730</v>
      </c>
      <c r="E79" s="16" t="s">
        <v>805</v>
      </c>
      <c r="F79" s="16">
        <v>1</v>
      </c>
      <c r="G79" s="16">
        <v>0</v>
      </c>
      <c r="H79" s="16" t="s">
        <v>26</v>
      </c>
      <c r="I79" s="16" t="s">
        <v>14</v>
      </c>
      <c r="J79" s="17"/>
      <c r="K79" s="17"/>
      <c r="L79" s="17"/>
      <c r="M79" s="17"/>
      <c r="N79" s="17"/>
      <c r="O79" s="13"/>
      <c r="P79" s="13"/>
      <c r="Q79" s="13">
        <v>19</v>
      </c>
      <c r="R79" s="6">
        <v>9</v>
      </c>
      <c r="S79" s="7">
        <v>0.08</v>
      </c>
      <c r="T79" s="62">
        <v>33</v>
      </c>
      <c r="U79" s="16">
        <v>39.6</v>
      </c>
      <c r="V79" s="16"/>
      <c r="W79" s="16">
        <v>61.5</v>
      </c>
      <c r="X79" s="18">
        <v>61.5</v>
      </c>
      <c r="Y79" s="16">
        <f t="shared" si="20"/>
        <v>-6.6000000000000014</v>
      </c>
      <c r="Z79" s="16">
        <f t="shared" si="21"/>
        <v>33</v>
      </c>
      <c r="AA79" s="4">
        <v>0</v>
      </c>
      <c r="AB79" s="4">
        <v>0</v>
      </c>
      <c r="AC79" s="4">
        <v>0</v>
      </c>
      <c r="AD79" s="4">
        <v>0</v>
      </c>
      <c r="AE79" s="19">
        <v>0</v>
      </c>
      <c r="AF79" s="13">
        <f t="shared" si="22"/>
        <v>2</v>
      </c>
      <c r="AG79" s="20">
        <f t="shared" si="14"/>
        <v>46031</v>
      </c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21"/>
      <c r="AW79" s="13"/>
      <c r="AX79" s="13">
        <v>33</v>
      </c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>
        <f t="shared" si="15"/>
        <v>6.6000000000000014</v>
      </c>
      <c r="BN79" s="22">
        <f t="shared" si="16"/>
        <v>33</v>
      </c>
      <c r="BO79" s="23" t="str">
        <f t="shared" si="17"/>
        <v>ok</v>
      </c>
      <c r="BP79" s="22">
        <f t="shared" si="18"/>
        <v>61.5</v>
      </c>
      <c r="BQ79" s="22" t="str">
        <f t="shared" si="19"/>
        <v>ok</v>
      </c>
      <c r="BR79" s="56" t="s">
        <v>28</v>
      </c>
    </row>
    <row r="80" spans="1:70" s="12" customFormat="1" ht="24.95" customHeight="1" x14ac:dyDescent="0.25">
      <c r="A80" s="4" t="s">
        <v>177</v>
      </c>
      <c r="B80" s="15" t="s">
        <v>178</v>
      </c>
      <c r="C80" s="5">
        <v>70006</v>
      </c>
      <c r="D80" s="5" t="s">
        <v>730</v>
      </c>
      <c r="E80" s="16" t="s">
        <v>806</v>
      </c>
      <c r="F80" s="16">
        <v>1</v>
      </c>
      <c r="G80" s="16">
        <v>1</v>
      </c>
      <c r="H80" s="16" t="s">
        <v>26</v>
      </c>
      <c r="I80" s="16" t="s">
        <v>14</v>
      </c>
      <c r="J80" s="17"/>
      <c r="K80" s="17"/>
      <c r="L80" s="17"/>
      <c r="M80" s="17"/>
      <c r="N80" s="17"/>
      <c r="O80" s="13"/>
      <c r="P80" s="13"/>
      <c r="Q80" s="13">
        <v>11</v>
      </c>
      <c r="R80" s="6">
        <v>10</v>
      </c>
      <c r="S80" s="7">
        <v>0.08</v>
      </c>
      <c r="T80" s="62">
        <v>33</v>
      </c>
      <c r="U80" s="16">
        <v>29.7</v>
      </c>
      <c r="V80" s="16"/>
      <c r="W80" s="16">
        <v>150</v>
      </c>
      <c r="X80" s="18">
        <v>150</v>
      </c>
      <c r="Y80" s="16">
        <f t="shared" si="20"/>
        <v>0</v>
      </c>
      <c r="Z80" s="16">
        <f t="shared" si="21"/>
        <v>29.7</v>
      </c>
      <c r="AA80" s="4">
        <v>0</v>
      </c>
      <c r="AB80" s="4">
        <v>0</v>
      </c>
      <c r="AC80" s="4">
        <v>0</v>
      </c>
      <c r="AD80" s="4">
        <v>0</v>
      </c>
      <c r="AE80" s="19">
        <v>0</v>
      </c>
      <c r="AF80" s="13">
        <f t="shared" si="22"/>
        <v>2</v>
      </c>
      <c r="AG80" s="20">
        <f t="shared" si="14"/>
        <v>46031</v>
      </c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13"/>
      <c r="AZ80" s="13">
        <v>29.7</v>
      </c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>
        <f t="shared" si="15"/>
        <v>0</v>
      </c>
      <c r="BN80" s="22">
        <f t="shared" si="16"/>
        <v>29.7</v>
      </c>
      <c r="BO80" s="23" t="str">
        <f t="shared" si="17"/>
        <v>ok</v>
      </c>
      <c r="BP80" s="22">
        <f t="shared" si="18"/>
        <v>150</v>
      </c>
      <c r="BQ80" s="22" t="str">
        <f t="shared" si="19"/>
        <v>ok</v>
      </c>
      <c r="BR80" s="56"/>
    </row>
    <row r="81" spans="1:70" s="12" customFormat="1" ht="24.95" customHeight="1" x14ac:dyDescent="0.25">
      <c r="A81" s="4" t="s">
        <v>179</v>
      </c>
      <c r="B81" s="15" t="s">
        <v>180</v>
      </c>
      <c r="C81" s="5">
        <v>70006</v>
      </c>
      <c r="D81" s="5" t="s">
        <v>730</v>
      </c>
      <c r="E81" s="16" t="s">
        <v>807</v>
      </c>
      <c r="F81" s="16">
        <v>1</v>
      </c>
      <c r="G81" s="16">
        <v>0</v>
      </c>
      <c r="H81" s="16" t="s">
        <v>26</v>
      </c>
      <c r="I81" s="16" t="s">
        <v>14</v>
      </c>
      <c r="J81" s="17"/>
      <c r="K81" s="17"/>
      <c r="L81" s="17"/>
      <c r="M81" s="17"/>
      <c r="N81" s="17"/>
      <c r="O81" s="13"/>
      <c r="P81" s="13"/>
      <c r="Q81" s="13">
        <v>22</v>
      </c>
      <c r="R81" s="6">
        <v>10</v>
      </c>
      <c r="S81" s="7">
        <v>0.08</v>
      </c>
      <c r="T81" s="62">
        <v>33</v>
      </c>
      <c r="U81" s="16">
        <v>38.700000000000003</v>
      </c>
      <c r="V81" s="16"/>
      <c r="W81" s="16">
        <v>76.5</v>
      </c>
      <c r="X81" s="18">
        <v>76.5</v>
      </c>
      <c r="Y81" s="16">
        <f t="shared" si="20"/>
        <v>-5.7000000000000028</v>
      </c>
      <c r="Z81" s="16">
        <f t="shared" si="21"/>
        <v>33</v>
      </c>
      <c r="AA81" s="4">
        <v>0</v>
      </c>
      <c r="AB81" s="4">
        <v>0</v>
      </c>
      <c r="AC81" s="4">
        <v>0</v>
      </c>
      <c r="AD81" s="4">
        <v>0</v>
      </c>
      <c r="AE81" s="19">
        <v>0</v>
      </c>
      <c r="AF81" s="13">
        <f t="shared" si="22"/>
        <v>2</v>
      </c>
      <c r="AG81" s="20">
        <f t="shared" ref="AG81:AG144" si="23">IF(AH$16="", "", MAX(AH$16, IF(AD81&gt;0, AD$16+AF81+1, IF(AC81&gt;0, AC$16+AF81+1, IF(AB81&gt;0, AB$16+AF81+1, IF(AA81&gt;0, AA$16+AF81+1, 0))))))</f>
        <v>46031</v>
      </c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21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>
        <v>33</v>
      </c>
      <c r="BH81" s="13"/>
      <c r="BI81" s="13"/>
      <c r="BJ81" s="13"/>
      <c r="BK81" s="13"/>
      <c r="BL81" s="13"/>
      <c r="BM81" s="13">
        <f t="shared" ref="BM81:BM144" si="24">SUM(U81-(SUM(AH81:BJ81)))</f>
        <v>5.7000000000000028</v>
      </c>
      <c r="BN81" s="22">
        <f t="shared" ref="BN81:BN144" si="25">MAX(AH81:BJ81)</f>
        <v>33</v>
      </c>
      <c r="BO81" s="23" t="str">
        <f t="shared" ref="BO81:BO144" si="26">IF(BN81&gt;W81+V81,"ver","ok")</f>
        <v>ok</v>
      </c>
      <c r="BP81" s="22">
        <f t="shared" ref="BP81:BP144" si="27">V81+W81</f>
        <v>76.5</v>
      </c>
      <c r="BQ81" s="22" t="str">
        <f t="shared" ref="BQ81:BQ144" si="28">IF(BN81&gt;BP81,BN81,"ok")</f>
        <v>ok</v>
      </c>
      <c r="BR81" s="56" t="s">
        <v>28</v>
      </c>
    </row>
    <row r="82" spans="1:70" s="12" customFormat="1" ht="24.95" customHeight="1" x14ac:dyDescent="0.25">
      <c r="A82" s="4" t="s">
        <v>181</v>
      </c>
      <c r="B82" s="15" t="s">
        <v>182</v>
      </c>
      <c r="C82" s="5">
        <v>70006</v>
      </c>
      <c r="D82" s="5" t="s">
        <v>730</v>
      </c>
      <c r="E82" s="16" t="s">
        <v>808</v>
      </c>
      <c r="F82" s="16">
        <v>1</v>
      </c>
      <c r="G82" s="16">
        <v>1</v>
      </c>
      <c r="H82" s="16" t="s">
        <v>26</v>
      </c>
      <c r="I82" s="16" t="s">
        <v>14</v>
      </c>
      <c r="J82" s="17"/>
      <c r="K82" s="17"/>
      <c r="L82" s="17"/>
      <c r="M82" s="17"/>
      <c r="N82" s="17"/>
      <c r="O82" s="13"/>
      <c r="P82" s="13"/>
      <c r="Q82" s="13">
        <v>17</v>
      </c>
      <c r="R82" s="6">
        <v>10</v>
      </c>
      <c r="S82" s="7">
        <v>0.08</v>
      </c>
      <c r="T82" s="62">
        <v>33</v>
      </c>
      <c r="U82" s="16">
        <v>29.7</v>
      </c>
      <c r="V82" s="16"/>
      <c r="W82" s="16">
        <v>67.5</v>
      </c>
      <c r="X82" s="18">
        <v>67.5</v>
      </c>
      <c r="Y82" s="16">
        <f t="shared" ref="Y82:Y145" si="29">Z82-U82</f>
        <v>0</v>
      </c>
      <c r="Z82" s="16">
        <f t="shared" ref="Z82:Z145" si="30">SUM(AH82:BL82)</f>
        <v>29.7</v>
      </c>
      <c r="AA82" s="4">
        <v>0</v>
      </c>
      <c r="AB82" s="4">
        <v>0</v>
      </c>
      <c r="AC82" s="4">
        <v>0</v>
      </c>
      <c r="AD82" s="4">
        <v>0</v>
      </c>
      <c r="AE82" s="19">
        <v>0</v>
      </c>
      <c r="AF82" s="13">
        <f t="shared" ref="AF82:AF145" si="31">IF(I82="Máquina",IF(COUNTIF(D82,"*cat02*"),4,IF(COUNTIF(D82,"*cat01*"),3,IF(COUNTIF(D82,"*cat04*"),2,IF(COUNTIF(D82,"*cat03*"),5,2)))),IF(COUNTIF(D82,"*cat02*"),3,IF(COUNTIF(D82,"*cat01*"),2,IF(COUNTIF(D82,"*cat04*"),2,IF(COUNTIF(D82,"*cat03*"),5,2)))))</f>
        <v>2</v>
      </c>
      <c r="AG82" s="20">
        <f t="shared" si="23"/>
        <v>46031</v>
      </c>
      <c r="AH82" s="13">
        <v>29.7</v>
      </c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21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>
        <f t="shared" si="24"/>
        <v>0</v>
      </c>
      <c r="BN82" s="22">
        <f t="shared" si="25"/>
        <v>29.7</v>
      </c>
      <c r="BO82" s="23" t="str">
        <f t="shared" si="26"/>
        <v>ok</v>
      </c>
      <c r="BP82" s="22">
        <f t="shared" si="27"/>
        <v>67.5</v>
      </c>
      <c r="BQ82" s="22" t="str">
        <f t="shared" si="28"/>
        <v>ok</v>
      </c>
      <c r="BR82" s="56"/>
    </row>
    <row r="83" spans="1:70" s="12" customFormat="1" ht="24.95" customHeight="1" x14ac:dyDescent="0.25">
      <c r="A83" s="4" t="s">
        <v>183</v>
      </c>
      <c r="B83" s="15" t="s">
        <v>184</v>
      </c>
      <c r="C83" s="5">
        <v>70006</v>
      </c>
      <c r="D83" s="5" t="s">
        <v>730</v>
      </c>
      <c r="E83" s="16" t="s">
        <v>809</v>
      </c>
      <c r="F83" s="16">
        <v>1</v>
      </c>
      <c r="G83" s="16">
        <v>0</v>
      </c>
      <c r="H83" s="16" t="s">
        <v>26</v>
      </c>
      <c r="I83" s="16" t="s">
        <v>14</v>
      </c>
      <c r="J83" s="17"/>
      <c r="K83" s="17"/>
      <c r="L83" s="17"/>
      <c r="M83" s="17"/>
      <c r="N83" s="17"/>
      <c r="O83" s="13"/>
      <c r="P83" s="13"/>
      <c r="Q83" s="13">
        <v>11</v>
      </c>
      <c r="R83" s="6">
        <v>10</v>
      </c>
      <c r="S83" s="7">
        <v>0.08</v>
      </c>
      <c r="T83" s="62">
        <v>33</v>
      </c>
      <c r="U83" s="16">
        <v>15.3</v>
      </c>
      <c r="V83" s="16"/>
      <c r="W83" s="16">
        <v>70.5</v>
      </c>
      <c r="X83" s="18">
        <v>70.5</v>
      </c>
      <c r="Y83" s="16">
        <f t="shared" si="29"/>
        <v>0</v>
      </c>
      <c r="Z83" s="16">
        <f t="shared" si="30"/>
        <v>15.3</v>
      </c>
      <c r="AA83" s="4">
        <v>0</v>
      </c>
      <c r="AB83" s="4">
        <v>0</v>
      </c>
      <c r="AC83" s="4">
        <v>0</v>
      </c>
      <c r="AD83" s="4">
        <v>0</v>
      </c>
      <c r="AE83" s="19">
        <v>0</v>
      </c>
      <c r="AF83" s="13">
        <f t="shared" si="31"/>
        <v>2</v>
      </c>
      <c r="AG83" s="20">
        <f t="shared" si="23"/>
        <v>46031</v>
      </c>
      <c r="AH83" s="13"/>
      <c r="AI83" s="13"/>
      <c r="AJ83" s="13"/>
      <c r="AK83" s="13"/>
      <c r="AL83" s="13"/>
      <c r="AM83" s="13"/>
      <c r="AN83" s="13">
        <v>15.3</v>
      </c>
      <c r="AO83" s="13"/>
      <c r="AP83" s="13"/>
      <c r="AQ83" s="13"/>
      <c r="AR83" s="13"/>
      <c r="AS83" s="13"/>
      <c r="AT83" s="13"/>
      <c r="AU83" s="13"/>
      <c r="AV83" s="21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>
        <f t="shared" si="24"/>
        <v>0</v>
      </c>
      <c r="BN83" s="22">
        <f t="shared" si="25"/>
        <v>15.3</v>
      </c>
      <c r="BO83" s="23" t="str">
        <f t="shared" si="26"/>
        <v>ok</v>
      </c>
      <c r="BP83" s="22">
        <f t="shared" si="27"/>
        <v>70.5</v>
      </c>
      <c r="BQ83" s="22" t="str">
        <f t="shared" si="28"/>
        <v>ok</v>
      </c>
      <c r="BR83" s="56"/>
    </row>
    <row r="84" spans="1:70" s="12" customFormat="1" ht="24.95" customHeight="1" x14ac:dyDescent="0.25">
      <c r="A84" s="4" t="s">
        <v>185</v>
      </c>
      <c r="B84" s="15" t="s">
        <v>186</v>
      </c>
      <c r="C84" s="5">
        <v>70006</v>
      </c>
      <c r="D84" s="5" t="s">
        <v>730</v>
      </c>
      <c r="E84" s="16" t="s">
        <v>810</v>
      </c>
      <c r="F84" s="16">
        <v>1</v>
      </c>
      <c r="G84" s="16">
        <v>0</v>
      </c>
      <c r="H84" s="16" t="s">
        <v>26</v>
      </c>
      <c r="I84" s="16" t="s">
        <v>14</v>
      </c>
      <c r="J84" s="17"/>
      <c r="K84" s="17"/>
      <c r="L84" s="17"/>
      <c r="M84" s="17"/>
      <c r="N84" s="17"/>
      <c r="O84" s="13"/>
      <c r="P84" s="13"/>
      <c r="Q84" s="13">
        <v>35</v>
      </c>
      <c r="R84" s="6">
        <v>10</v>
      </c>
      <c r="S84" s="7">
        <v>0.08</v>
      </c>
      <c r="T84" s="62">
        <v>33</v>
      </c>
      <c r="U84" s="16">
        <v>38.700000000000003</v>
      </c>
      <c r="V84" s="16"/>
      <c r="W84" s="16">
        <v>73.5</v>
      </c>
      <c r="X84" s="18">
        <v>73.5</v>
      </c>
      <c r="Y84" s="16">
        <f t="shared" si="29"/>
        <v>-5.7000000000000028</v>
      </c>
      <c r="Z84" s="16">
        <f t="shared" si="30"/>
        <v>33</v>
      </c>
      <c r="AA84" s="4">
        <v>0</v>
      </c>
      <c r="AB84" s="4">
        <v>0</v>
      </c>
      <c r="AC84" s="4">
        <v>0</v>
      </c>
      <c r="AD84" s="4">
        <v>0</v>
      </c>
      <c r="AE84" s="19">
        <v>0</v>
      </c>
      <c r="AF84" s="13">
        <f t="shared" si="31"/>
        <v>2</v>
      </c>
      <c r="AG84" s="20">
        <f t="shared" si="23"/>
        <v>46031</v>
      </c>
      <c r="AH84" s="13"/>
      <c r="AI84" s="13"/>
      <c r="AJ84" s="13">
        <v>33</v>
      </c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21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>
        <f t="shared" si="24"/>
        <v>5.7000000000000028</v>
      </c>
      <c r="BN84" s="22">
        <f t="shared" si="25"/>
        <v>33</v>
      </c>
      <c r="BO84" s="23" t="str">
        <f t="shared" si="26"/>
        <v>ok</v>
      </c>
      <c r="BP84" s="22">
        <f t="shared" si="27"/>
        <v>73.5</v>
      </c>
      <c r="BQ84" s="22" t="str">
        <f t="shared" si="28"/>
        <v>ok</v>
      </c>
      <c r="BR84" s="56" t="s">
        <v>28</v>
      </c>
    </row>
    <row r="85" spans="1:70" s="12" customFormat="1" ht="24.95" customHeight="1" x14ac:dyDescent="0.25">
      <c r="A85" s="4" t="s">
        <v>187</v>
      </c>
      <c r="B85" s="15" t="s">
        <v>188</v>
      </c>
      <c r="C85" s="5">
        <v>70006</v>
      </c>
      <c r="D85" s="5" t="s">
        <v>730</v>
      </c>
      <c r="E85" s="16" t="s">
        <v>811</v>
      </c>
      <c r="F85" s="16">
        <v>1</v>
      </c>
      <c r="G85" s="16">
        <v>0</v>
      </c>
      <c r="H85" s="16" t="s">
        <v>26</v>
      </c>
      <c r="I85" s="16" t="s">
        <v>14</v>
      </c>
      <c r="J85" s="17"/>
      <c r="K85" s="17"/>
      <c r="L85" s="17"/>
      <c r="M85" s="17"/>
      <c r="N85" s="17"/>
      <c r="O85" s="13"/>
      <c r="P85" s="13"/>
      <c r="Q85" s="13">
        <v>17</v>
      </c>
      <c r="R85" s="6">
        <v>8</v>
      </c>
      <c r="S85" s="7">
        <v>0.08</v>
      </c>
      <c r="T85" s="62">
        <v>33</v>
      </c>
      <c r="U85" s="16">
        <v>27</v>
      </c>
      <c r="V85" s="16"/>
      <c r="W85" s="16">
        <v>30</v>
      </c>
      <c r="X85" s="18">
        <v>30</v>
      </c>
      <c r="Y85" s="16">
        <f t="shared" si="29"/>
        <v>0</v>
      </c>
      <c r="Z85" s="16">
        <f t="shared" si="30"/>
        <v>27</v>
      </c>
      <c r="AA85" s="4">
        <v>0</v>
      </c>
      <c r="AB85" s="4">
        <v>0</v>
      </c>
      <c r="AC85" s="4">
        <v>0</v>
      </c>
      <c r="AD85" s="4">
        <v>0</v>
      </c>
      <c r="AE85" s="19">
        <v>0</v>
      </c>
      <c r="AF85" s="13">
        <f t="shared" si="31"/>
        <v>2</v>
      </c>
      <c r="AG85" s="20">
        <f t="shared" si="23"/>
        <v>46031</v>
      </c>
      <c r="AH85" s="13"/>
      <c r="AI85" s="13">
        <v>27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21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29"/>
      <c r="BI85" s="13"/>
      <c r="BJ85" s="13"/>
      <c r="BK85" s="13"/>
      <c r="BL85" s="13"/>
      <c r="BM85" s="13">
        <f t="shared" si="24"/>
        <v>0</v>
      </c>
      <c r="BN85" s="22">
        <f t="shared" si="25"/>
        <v>27</v>
      </c>
      <c r="BO85" s="23" t="str">
        <f t="shared" si="26"/>
        <v>ok</v>
      </c>
      <c r="BP85" s="22">
        <f t="shared" si="27"/>
        <v>30</v>
      </c>
      <c r="BQ85" s="22" t="str">
        <f t="shared" si="28"/>
        <v>ok</v>
      </c>
      <c r="BR85" s="56"/>
    </row>
    <row r="86" spans="1:70" s="12" customFormat="1" ht="24.95" customHeight="1" x14ac:dyDescent="0.25">
      <c r="A86" s="4" t="s">
        <v>189</v>
      </c>
      <c r="B86" s="15" t="s">
        <v>190</v>
      </c>
      <c r="C86" s="5">
        <v>70007</v>
      </c>
      <c r="D86" s="5" t="s">
        <v>730</v>
      </c>
      <c r="E86" s="16" t="s">
        <v>812</v>
      </c>
      <c r="F86" s="16">
        <v>1</v>
      </c>
      <c r="G86" s="16">
        <v>0</v>
      </c>
      <c r="H86" s="16" t="s">
        <v>27</v>
      </c>
      <c r="I86" s="16" t="s">
        <v>14</v>
      </c>
      <c r="J86" s="17"/>
      <c r="K86" s="17"/>
      <c r="L86" s="17"/>
      <c r="M86" s="17"/>
      <c r="N86" s="17"/>
      <c r="O86" s="13"/>
      <c r="P86" s="13"/>
      <c r="Q86" s="13">
        <v>124</v>
      </c>
      <c r="R86" s="6">
        <v>10</v>
      </c>
      <c r="S86" s="7">
        <v>0.08</v>
      </c>
      <c r="T86" s="62">
        <v>45</v>
      </c>
      <c r="U86" s="16">
        <v>28.8</v>
      </c>
      <c r="V86" s="16"/>
      <c r="W86" s="16">
        <v>28.5</v>
      </c>
      <c r="X86" s="18">
        <v>28.5</v>
      </c>
      <c r="Y86" s="16">
        <f t="shared" si="29"/>
        <v>-0.80000000000000071</v>
      </c>
      <c r="Z86" s="16">
        <f t="shared" si="30"/>
        <v>28</v>
      </c>
      <c r="AA86" s="4">
        <v>15</v>
      </c>
      <c r="AB86" s="4">
        <v>0</v>
      </c>
      <c r="AC86" s="4">
        <v>0</v>
      </c>
      <c r="AD86" s="4">
        <v>19</v>
      </c>
      <c r="AE86" s="19">
        <v>34</v>
      </c>
      <c r="AF86" s="13">
        <f t="shared" si="31"/>
        <v>2</v>
      </c>
      <c r="AG86" s="20">
        <f t="shared" si="23"/>
        <v>46033</v>
      </c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>
        <v>28</v>
      </c>
      <c r="AT86" s="24"/>
      <c r="AU86" s="24"/>
      <c r="AV86" s="24"/>
      <c r="AW86" s="24"/>
      <c r="AX86" s="24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>
        <f t="shared" si="24"/>
        <v>0.80000000000000071</v>
      </c>
      <c r="BN86" s="22">
        <f t="shared" si="25"/>
        <v>28</v>
      </c>
      <c r="BO86" s="23" t="str">
        <f t="shared" si="26"/>
        <v>ok</v>
      </c>
      <c r="BP86" s="22">
        <f t="shared" si="27"/>
        <v>28.5</v>
      </c>
      <c r="BQ86" s="22" t="str">
        <f t="shared" si="28"/>
        <v>ok</v>
      </c>
      <c r="BR86" s="56" t="s">
        <v>28</v>
      </c>
    </row>
    <row r="87" spans="1:70" s="12" customFormat="1" ht="24.95" customHeight="1" x14ac:dyDescent="0.25">
      <c r="A87" s="4" t="s">
        <v>191</v>
      </c>
      <c r="B87" s="15" t="s">
        <v>192</v>
      </c>
      <c r="C87" s="5">
        <v>70007</v>
      </c>
      <c r="D87" s="5" t="s">
        <v>730</v>
      </c>
      <c r="E87" s="16" t="s">
        <v>813</v>
      </c>
      <c r="F87" s="16">
        <v>1</v>
      </c>
      <c r="G87" s="16">
        <v>0</v>
      </c>
      <c r="H87" s="16" t="s">
        <v>27</v>
      </c>
      <c r="I87" s="16" t="s">
        <v>14</v>
      </c>
      <c r="J87" s="17"/>
      <c r="K87" s="17"/>
      <c r="L87" s="17"/>
      <c r="M87" s="17"/>
      <c r="N87" s="17"/>
      <c r="O87" s="13"/>
      <c r="P87" s="13"/>
      <c r="Q87" s="13">
        <v>16</v>
      </c>
      <c r="R87" s="13">
        <v>10</v>
      </c>
      <c r="S87" s="7">
        <v>0.08</v>
      </c>
      <c r="T87" s="62">
        <v>45</v>
      </c>
      <c r="U87" s="16">
        <v>14.4</v>
      </c>
      <c r="V87" s="16"/>
      <c r="W87" s="16">
        <v>60</v>
      </c>
      <c r="X87" s="18">
        <v>60</v>
      </c>
      <c r="Y87" s="16">
        <f t="shared" si="29"/>
        <v>0</v>
      </c>
      <c r="Z87" s="16">
        <f t="shared" si="30"/>
        <v>14.4</v>
      </c>
      <c r="AA87" s="4">
        <v>12</v>
      </c>
      <c r="AB87" s="4">
        <v>0</v>
      </c>
      <c r="AC87" s="4">
        <v>0</v>
      </c>
      <c r="AD87" s="4">
        <v>0</v>
      </c>
      <c r="AE87" s="19">
        <v>12</v>
      </c>
      <c r="AF87" s="13">
        <f t="shared" si="31"/>
        <v>2</v>
      </c>
      <c r="AG87" s="20">
        <f t="shared" si="23"/>
        <v>46031</v>
      </c>
      <c r="AH87" s="13"/>
      <c r="AI87" s="13"/>
      <c r="AJ87" s="13"/>
      <c r="AK87" s="13">
        <v>14.4</v>
      </c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21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>
        <f t="shared" si="24"/>
        <v>0</v>
      </c>
      <c r="BN87" s="22">
        <f t="shared" si="25"/>
        <v>14.4</v>
      </c>
      <c r="BO87" s="23" t="str">
        <f t="shared" si="26"/>
        <v>ok</v>
      </c>
      <c r="BP87" s="22">
        <f t="shared" si="27"/>
        <v>60</v>
      </c>
      <c r="BQ87" s="22" t="str">
        <f t="shared" si="28"/>
        <v>ok</v>
      </c>
      <c r="BR87" s="56"/>
    </row>
    <row r="88" spans="1:70" s="12" customFormat="1" ht="24.95" customHeight="1" x14ac:dyDescent="0.25">
      <c r="A88" s="4" t="s">
        <v>193</v>
      </c>
      <c r="B88" s="15" t="s">
        <v>194</v>
      </c>
      <c r="C88" s="5">
        <v>70007</v>
      </c>
      <c r="D88" s="5" t="s">
        <v>730</v>
      </c>
      <c r="E88" s="16" t="s">
        <v>814</v>
      </c>
      <c r="F88" s="16">
        <v>1</v>
      </c>
      <c r="G88" s="16">
        <v>0</v>
      </c>
      <c r="H88" s="16" t="s">
        <v>27</v>
      </c>
      <c r="I88" s="16" t="s">
        <v>14</v>
      </c>
      <c r="J88" s="17"/>
      <c r="K88" s="17"/>
      <c r="L88" s="17"/>
      <c r="M88" s="17"/>
      <c r="N88" s="17"/>
      <c r="O88" s="13"/>
      <c r="P88" s="13"/>
      <c r="Q88" s="13">
        <v>11</v>
      </c>
      <c r="R88" s="6">
        <v>10</v>
      </c>
      <c r="S88" s="7">
        <v>0.08</v>
      </c>
      <c r="T88" s="62">
        <v>45</v>
      </c>
      <c r="U88" s="16">
        <v>15.3</v>
      </c>
      <c r="V88" s="16"/>
      <c r="W88" s="16">
        <v>82.5</v>
      </c>
      <c r="X88" s="18">
        <v>82.5</v>
      </c>
      <c r="Y88" s="16">
        <f t="shared" si="29"/>
        <v>0</v>
      </c>
      <c r="Z88" s="16">
        <f t="shared" si="30"/>
        <v>15.3</v>
      </c>
      <c r="AA88" s="4">
        <v>0</v>
      </c>
      <c r="AB88" s="4">
        <v>0</v>
      </c>
      <c r="AC88" s="4">
        <v>0</v>
      </c>
      <c r="AD88" s="4">
        <v>0</v>
      </c>
      <c r="AE88" s="19">
        <v>0</v>
      </c>
      <c r="AF88" s="13">
        <f t="shared" si="31"/>
        <v>2</v>
      </c>
      <c r="AG88" s="20">
        <f t="shared" si="23"/>
        <v>46031</v>
      </c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13"/>
      <c r="AZ88" s="13"/>
      <c r="BA88" s="13"/>
      <c r="BB88" s="13"/>
      <c r="BC88" s="13"/>
      <c r="BD88" s="13"/>
      <c r="BE88" s="13"/>
      <c r="BF88" s="13"/>
      <c r="BG88" s="13"/>
      <c r="BH88" s="13">
        <v>15.3</v>
      </c>
      <c r="BI88" s="13"/>
      <c r="BJ88" s="13"/>
      <c r="BK88" s="13"/>
      <c r="BL88" s="13"/>
      <c r="BM88" s="13">
        <f t="shared" si="24"/>
        <v>0</v>
      </c>
      <c r="BN88" s="22">
        <f t="shared" si="25"/>
        <v>15.3</v>
      </c>
      <c r="BO88" s="23" t="str">
        <f t="shared" si="26"/>
        <v>ok</v>
      </c>
      <c r="BP88" s="22">
        <f t="shared" si="27"/>
        <v>82.5</v>
      </c>
      <c r="BQ88" s="22" t="str">
        <f t="shared" si="28"/>
        <v>ok</v>
      </c>
      <c r="BR88" s="56"/>
    </row>
    <row r="89" spans="1:70" s="12" customFormat="1" ht="24.95" customHeight="1" x14ac:dyDescent="0.25">
      <c r="A89" s="4" t="s">
        <v>195</v>
      </c>
      <c r="B89" s="15" t="s">
        <v>196</v>
      </c>
      <c r="C89" s="5">
        <v>70007</v>
      </c>
      <c r="D89" s="5" t="s">
        <v>730</v>
      </c>
      <c r="E89" s="16" t="s">
        <v>815</v>
      </c>
      <c r="F89" s="16">
        <v>2</v>
      </c>
      <c r="G89" s="16">
        <v>0</v>
      </c>
      <c r="H89" s="16" t="s">
        <v>27</v>
      </c>
      <c r="I89" s="16" t="s">
        <v>14</v>
      </c>
      <c r="J89" s="17"/>
      <c r="K89" s="17"/>
      <c r="L89" s="17"/>
      <c r="M89" s="17"/>
      <c r="N89" s="17"/>
      <c r="O89" s="13"/>
      <c r="P89" s="13"/>
      <c r="Q89" s="13">
        <v>32</v>
      </c>
      <c r="R89" s="6">
        <v>10</v>
      </c>
      <c r="S89" s="7">
        <v>0.08</v>
      </c>
      <c r="T89" s="62">
        <v>45</v>
      </c>
      <c r="U89" s="16">
        <v>90</v>
      </c>
      <c r="V89" s="16"/>
      <c r="W89" s="16">
        <v>142.5</v>
      </c>
      <c r="X89" s="18">
        <v>142.5</v>
      </c>
      <c r="Y89" s="16">
        <f t="shared" si="29"/>
        <v>0</v>
      </c>
      <c r="Z89" s="16">
        <f t="shared" si="30"/>
        <v>90</v>
      </c>
      <c r="AA89" s="4">
        <v>0</v>
      </c>
      <c r="AB89" s="4">
        <v>0</v>
      </c>
      <c r="AC89" s="4">
        <v>45</v>
      </c>
      <c r="AD89" s="4">
        <v>0</v>
      </c>
      <c r="AE89" s="19">
        <v>45</v>
      </c>
      <c r="AF89" s="13">
        <f t="shared" si="31"/>
        <v>2</v>
      </c>
      <c r="AG89" s="20">
        <f t="shared" si="23"/>
        <v>46032</v>
      </c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>
        <v>45</v>
      </c>
      <c r="AV89" s="21"/>
      <c r="AW89" s="13">
        <v>45</v>
      </c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>
        <f t="shared" si="24"/>
        <v>0</v>
      </c>
      <c r="BN89" s="22">
        <f t="shared" si="25"/>
        <v>45</v>
      </c>
      <c r="BO89" s="23" t="str">
        <f t="shared" si="26"/>
        <v>ok</v>
      </c>
      <c r="BP89" s="22">
        <f t="shared" si="27"/>
        <v>142.5</v>
      </c>
      <c r="BQ89" s="22" t="str">
        <f t="shared" si="28"/>
        <v>ok</v>
      </c>
      <c r="BR89" s="56"/>
    </row>
    <row r="90" spans="1:70" s="12" customFormat="1" ht="24.95" customHeight="1" x14ac:dyDescent="0.25">
      <c r="A90" s="4" t="s">
        <v>197</v>
      </c>
      <c r="B90" s="15" t="s">
        <v>198</v>
      </c>
      <c r="C90" s="5">
        <v>70007</v>
      </c>
      <c r="D90" s="5" t="s">
        <v>730</v>
      </c>
      <c r="E90" s="16" t="s">
        <v>816</v>
      </c>
      <c r="F90" s="16">
        <v>2</v>
      </c>
      <c r="G90" s="16">
        <v>0</v>
      </c>
      <c r="H90" s="16" t="s">
        <v>27</v>
      </c>
      <c r="I90" s="16" t="s">
        <v>14</v>
      </c>
      <c r="J90" s="17"/>
      <c r="K90" s="17"/>
      <c r="L90" s="17"/>
      <c r="M90" s="17"/>
      <c r="N90" s="17"/>
      <c r="O90" s="13"/>
      <c r="P90" s="13"/>
      <c r="Q90" s="13">
        <v>11</v>
      </c>
      <c r="R90" s="6">
        <v>10</v>
      </c>
      <c r="S90" s="7">
        <v>0.08</v>
      </c>
      <c r="T90" s="62">
        <v>45</v>
      </c>
      <c r="U90" s="16">
        <v>29.7</v>
      </c>
      <c r="V90" s="16"/>
      <c r="W90" s="16">
        <v>28.5</v>
      </c>
      <c r="X90" s="18">
        <v>28.5</v>
      </c>
      <c r="Y90" s="16">
        <f t="shared" si="29"/>
        <v>-1.6999999999999993</v>
      </c>
      <c r="Z90" s="16">
        <f t="shared" si="30"/>
        <v>28</v>
      </c>
      <c r="AA90" s="4">
        <v>0</v>
      </c>
      <c r="AB90" s="4">
        <v>0</v>
      </c>
      <c r="AC90" s="4">
        <v>0</v>
      </c>
      <c r="AD90" s="4">
        <v>0</v>
      </c>
      <c r="AE90" s="19">
        <v>0</v>
      </c>
      <c r="AF90" s="13">
        <f t="shared" si="31"/>
        <v>2</v>
      </c>
      <c r="AG90" s="20">
        <f t="shared" si="23"/>
        <v>46031</v>
      </c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21"/>
      <c r="AW90" s="13">
        <v>28</v>
      </c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>
        <f t="shared" si="24"/>
        <v>1.6999999999999993</v>
      </c>
      <c r="BN90" s="22">
        <f t="shared" si="25"/>
        <v>28</v>
      </c>
      <c r="BO90" s="23" t="str">
        <f t="shared" si="26"/>
        <v>ok</v>
      </c>
      <c r="BP90" s="22">
        <f t="shared" si="27"/>
        <v>28.5</v>
      </c>
      <c r="BQ90" s="22" t="str">
        <f t="shared" si="28"/>
        <v>ok</v>
      </c>
      <c r="BR90" s="56" t="s">
        <v>28</v>
      </c>
    </row>
    <row r="91" spans="1:70" s="12" customFormat="1" ht="24.95" customHeight="1" x14ac:dyDescent="0.25">
      <c r="A91" s="4" t="s">
        <v>199</v>
      </c>
      <c r="B91" s="15" t="s">
        <v>200</v>
      </c>
      <c r="C91" s="5">
        <v>70007</v>
      </c>
      <c r="D91" s="5" t="s">
        <v>730</v>
      </c>
      <c r="E91" s="16" t="s">
        <v>817</v>
      </c>
      <c r="F91" s="16">
        <v>2</v>
      </c>
      <c r="G91" s="16">
        <v>0</v>
      </c>
      <c r="H91" s="16" t="s">
        <v>27</v>
      </c>
      <c r="I91" s="16" t="s">
        <v>14</v>
      </c>
      <c r="J91" s="17"/>
      <c r="K91" s="17"/>
      <c r="L91" s="17"/>
      <c r="M91" s="17"/>
      <c r="N91" s="17"/>
      <c r="O91" s="13"/>
      <c r="P91" s="13"/>
      <c r="Q91" s="13">
        <v>18</v>
      </c>
      <c r="R91" s="6">
        <v>21</v>
      </c>
      <c r="S91" s="7">
        <v>0.08</v>
      </c>
      <c r="T91" s="62">
        <v>45</v>
      </c>
      <c r="U91" s="16">
        <v>181.8</v>
      </c>
      <c r="V91" s="16"/>
      <c r="W91" s="16">
        <v>268.5</v>
      </c>
      <c r="X91" s="18">
        <v>268.5</v>
      </c>
      <c r="Y91" s="16">
        <f t="shared" si="29"/>
        <v>-1.8000000000000114</v>
      </c>
      <c r="Z91" s="16">
        <f t="shared" si="30"/>
        <v>180</v>
      </c>
      <c r="AA91" s="4">
        <v>0</v>
      </c>
      <c r="AB91" s="4">
        <v>10</v>
      </c>
      <c r="AC91" s="4">
        <v>45</v>
      </c>
      <c r="AD91" s="4">
        <v>0</v>
      </c>
      <c r="AE91" s="19">
        <v>55</v>
      </c>
      <c r="AF91" s="13">
        <f t="shared" si="31"/>
        <v>2</v>
      </c>
      <c r="AG91" s="20">
        <f t="shared" si="23"/>
        <v>46032</v>
      </c>
      <c r="AH91" s="24"/>
      <c r="AI91" s="24"/>
      <c r="AJ91" s="24"/>
      <c r="AK91" s="24"/>
      <c r="AL91" s="24"/>
      <c r="AM91" s="24">
        <v>45</v>
      </c>
      <c r="AN91" s="24"/>
      <c r="AO91" s="24"/>
      <c r="AP91" s="24"/>
      <c r="AQ91" s="24"/>
      <c r="AR91" s="24"/>
      <c r="AS91" s="24"/>
      <c r="AT91" s="24"/>
      <c r="AU91" s="24">
        <v>45</v>
      </c>
      <c r="AV91" s="24"/>
      <c r="AW91" s="24"/>
      <c r="AX91" s="24"/>
      <c r="AY91" s="13"/>
      <c r="AZ91" s="13"/>
      <c r="BA91" s="13"/>
      <c r="BB91" s="13"/>
      <c r="BC91" s="24"/>
      <c r="BD91" s="13"/>
      <c r="BE91" s="13"/>
      <c r="BF91" s="13"/>
      <c r="BG91" s="13">
        <v>45</v>
      </c>
      <c r="BH91" s="13"/>
      <c r="BI91" s="13"/>
      <c r="BJ91" s="13">
        <v>45</v>
      </c>
      <c r="BK91" s="13"/>
      <c r="BL91" s="13"/>
      <c r="BM91" s="13">
        <f t="shared" si="24"/>
        <v>1.8000000000000114</v>
      </c>
      <c r="BN91" s="22">
        <f t="shared" si="25"/>
        <v>45</v>
      </c>
      <c r="BO91" s="23" t="str">
        <f t="shared" si="26"/>
        <v>ok</v>
      </c>
      <c r="BP91" s="22">
        <f t="shared" si="27"/>
        <v>268.5</v>
      </c>
      <c r="BQ91" s="22" t="str">
        <f t="shared" si="28"/>
        <v>ok</v>
      </c>
      <c r="BR91" s="56" t="s">
        <v>28</v>
      </c>
    </row>
    <row r="92" spans="1:70" s="12" customFormat="1" ht="24.95" customHeight="1" x14ac:dyDescent="0.25">
      <c r="A92" s="4" t="s">
        <v>201</v>
      </c>
      <c r="B92" s="15" t="s">
        <v>202</v>
      </c>
      <c r="C92" s="5">
        <v>70007</v>
      </c>
      <c r="D92" s="5" t="s">
        <v>730</v>
      </c>
      <c r="E92" s="16" t="s">
        <v>818</v>
      </c>
      <c r="F92" s="16">
        <v>2</v>
      </c>
      <c r="G92" s="16">
        <v>0</v>
      </c>
      <c r="H92" s="16" t="s">
        <v>27</v>
      </c>
      <c r="I92" s="16" t="s">
        <v>14</v>
      </c>
      <c r="J92" s="17"/>
      <c r="K92" s="17"/>
      <c r="L92" s="17"/>
      <c r="M92" s="17"/>
      <c r="N92" s="17"/>
      <c r="O92" s="13"/>
      <c r="P92" s="13"/>
      <c r="Q92" s="13">
        <v>20</v>
      </c>
      <c r="R92" s="6">
        <v>11</v>
      </c>
      <c r="S92" s="7">
        <v>0.08</v>
      </c>
      <c r="T92" s="62">
        <v>45</v>
      </c>
      <c r="U92" s="16">
        <v>202.5</v>
      </c>
      <c r="V92" s="16"/>
      <c r="W92" s="16">
        <v>357</v>
      </c>
      <c r="X92" s="18">
        <v>357</v>
      </c>
      <c r="Y92" s="16">
        <f t="shared" si="29"/>
        <v>0</v>
      </c>
      <c r="Z92" s="16">
        <f t="shared" si="30"/>
        <v>202.5</v>
      </c>
      <c r="AA92" s="4">
        <v>0</v>
      </c>
      <c r="AB92" s="4">
        <v>0</v>
      </c>
      <c r="AC92" s="4">
        <v>45</v>
      </c>
      <c r="AD92" s="4">
        <v>0</v>
      </c>
      <c r="AE92" s="19">
        <v>45</v>
      </c>
      <c r="AF92" s="13">
        <f t="shared" si="31"/>
        <v>2</v>
      </c>
      <c r="AG92" s="20">
        <f t="shared" si="23"/>
        <v>46032</v>
      </c>
      <c r="AH92" s="13"/>
      <c r="AI92" s="13"/>
      <c r="AJ92" s="13"/>
      <c r="AK92" s="13"/>
      <c r="AL92" s="13">
        <v>22.5</v>
      </c>
      <c r="AM92" s="13"/>
      <c r="AN92" s="13"/>
      <c r="AO92" s="13"/>
      <c r="AP92" s="13"/>
      <c r="AQ92" s="13"/>
      <c r="AR92" s="13"/>
      <c r="AS92" s="13"/>
      <c r="AT92" s="13"/>
      <c r="AU92" s="13"/>
      <c r="AV92" s="21">
        <v>45</v>
      </c>
      <c r="AW92" s="13"/>
      <c r="AX92" s="13">
        <v>45</v>
      </c>
      <c r="AY92" s="13"/>
      <c r="AZ92" s="13"/>
      <c r="BA92" s="13"/>
      <c r="BB92" s="13">
        <v>45</v>
      </c>
      <c r="BC92" s="13"/>
      <c r="BD92" s="13">
        <v>45</v>
      </c>
      <c r="BE92" s="13"/>
      <c r="BF92" s="13"/>
      <c r="BG92" s="13"/>
      <c r="BH92" s="13"/>
      <c r="BI92" s="13"/>
      <c r="BJ92" s="13"/>
      <c r="BK92" s="13"/>
      <c r="BL92" s="13"/>
      <c r="BM92" s="13">
        <f t="shared" si="24"/>
        <v>0</v>
      </c>
      <c r="BN92" s="22">
        <f t="shared" si="25"/>
        <v>45</v>
      </c>
      <c r="BO92" s="23" t="str">
        <f t="shared" si="26"/>
        <v>ok</v>
      </c>
      <c r="BP92" s="22">
        <f t="shared" si="27"/>
        <v>357</v>
      </c>
      <c r="BQ92" s="22" t="str">
        <f t="shared" si="28"/>
        <v>ok</v>
      </c>
      <c r="BR92" s="56"/>
    </row>
    <row r="93" spans="1:70" s="12" customFormat="1" ht="24.95" customHeight="1" x14ac:dyDescent="0.25">
      <c r="A93" s="4" t="s">
        <v>203</v>
      </c>
      <c r="B93" s="15" t="s">
        <v>204</v>
      </c>
      <c r="C93" s="5">
        <v>70007</v>
      </c>
      <c r="D93" s="5" t="s">
        <v>730</v>
      </c>
      <c r="E93" s="16" t="s">
        <v>819</v>
      </c>
      <c r="F93" s="16">
        <v>2</v>
      </c>
      <c r="G93" s="16">
        <v>0</v>
      </c>
      <c r="H93" s="16" t="s">
        <v>27</v>
      </c>
      <c r="I93" s="16" t="s">
        <v>14</v>
      </c>
      <c r="J93" s="17"/>
      <c r="K93" s="17"/>
      <c r="L93" s="17"/>
      <c r="M93" s="17"/>
      <c r="N93" s="17"/>
      <c r="O93" s="13"/>
      <c r="P93" s="13"/>
      <c r="Q93" s="13">
        <v>13</v>
      </c>
      <c r="R93" s="6">
        <v>11</v>
      </c>
      <c r="S93" s="7">
        <v>0.08</v>
      </c>
      <c r="T93" s="62">
        <v>45</v>
      </c>
      <c r="U93" s="16">
        <v>162</v>
      </c>
      <c r="V93" s="16"/>
      <c r="W93" s="16">
        <v>268.5</v>
      </c>
      <c r="X93" s="18">
        <v>268.5</v>
      </c>
      <c r="Y93" s="16">
        <f t="shared" si="29"/>
        <v>0</v>
      </c>
      <c r="Z93" s="16">
        <f t="shared" si="30"/>
        <v>162</v>
      </c>
      <c r="AA93" s="4">
        <v>45</v>
      </c>
      <c r="AB93" s="4">
        <v>0</v>
      </c>
      <c r="AC93" s="4">
        <v>0</v>
      </c>
      <c r="AD93" s="4">
        <v>45</v>
      </c>
      <c r="AE93" s="19">
        <v>90</v>
      </c>
      <c r="AF93" s="13">
        <f t="shared" si="31"/>
        <v>2</v>
      </c>
      <c r="AG93" s="20">
        <f t="shared" si="23"/>
        <v>46033</v>
      </c>
      <c r="AH93" s="13">
        <v>45</v>
      </c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21"/>
      <c r="AW93" s="13">
        <v>45</v>
      </c>
      <c r="AX93" s="13"/>
      <c r="AY93" s="13"/>
      <c r="AZ93" s="13"/>
      <c r="BA93" s="13">
        <v>27</v>
      </c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>
        <v>45</v>
      </c>
      <c r="BM93" s="13">
        <f t="shared" si="24"/>
        <v>45</v>
      </c>
      <c r="BN93" s="22">
        <f t="shared" si="25"/>
        <v>45</v>
      </c>
      <c r="BO93" s="23" t="str">
        <f t="shared" si="26"/>
        <v>ok</v>
      </c>
      <c r="BP93" s="22">
        <f t="shared" si="27"/>
        <v>268.5</v>
      </c>
      <c r="BQ93" s="22" t="str">
        <f t="shared" si="28"/>
        <v>ok</v>
      </c>
      <c r="BR93" s="56"/>
    </row>
    <row r="94" spans="1:70" s="12" customFormat="1" ht="24.95" customHeight="1" x14ac:dyDescent="0.25">
      <c r="A94" s="4" t="s">
        <v>205</v>
      </c>
      <c r="B94" s="15" t="s">
        <v>206</v>
      </c>
      <c r="C94" s="5">
        <v>70007</v>
      </c>
      <c r="D94" s="5" t="s">
        <v>730</v>
      </c>
      <c r="E94" s="16" t="s">
        <v>820</v>
      </c>
      <c r="F94" s="16">
        <v>2</v>
      </c>
      <c r="G94" s="16">
        <v>0</v>
      </c>
      <c r="H94" s="16" t="s">
        <v>27</v>
      </c>
      <c r="I94" s="16" t="s">
        <v>14</v>
      </c>
      <c r="J94" s="17"/>
      <c r="K94" s="17"/>
      <c r="L94" s="17"/>
      <c r="M94" s="17"/>
      <c r="N94" s="17"/>
      <c r="O94" s="13"/>
      <c r="P94" s="13"/>
      <c r="Q94" s="13">
        <v>13</v>
      </c>
      <c r="R94" s="6">
        <v>18</v>
      </c>
      <c r="S94" s="7">
        <v>0.08</v>
      </c>
      <c r="T94" s="62">
        <v>45</v>
      </c>
      <c r="U94" s="16">
        <v>27.900000000000002</v>
      </c>
      <c r="V94" s="16"/>
      <c r="W94" s="16">
        <v>36</v>
      </c>
      <c r="X94" s="18">
        <v>36</v>
      </c>
      <c r="Y94" s="16">
        <f t="shared" si="29"/>
        <v>0</v>
      </c>
      <c r="Z94" s="16">
        <f t="shared" si="30"/>
        <v>27.9</v>
      </c>
      <c r="AA94" s="4">
        <v>0</v>
      </c>
      <c r="AB94" s="4">
        <v>18</v>
      </c>
      <c r="AC94" s="4">
        <v>0</v>
      </c>
      <c r="AD94" s="4">
        <v>0</v>
      </c>
      <c r="AE94" s="19">
        <v>18</v>
      </c>
      <c r="AF94" s="13">
        <f t="shared" si="31"/>
        <v>2</v>
      </c>
      <c r="AG94" s="20">
        <f t="shared" si="23"/>
        <v>46031</v>
      </c>
      <c r="AH94" s="13"/>
      <c r="AI94" s="13"/>
      <c r="AJ94" s="13"/>
      <c r="AK94" s="13"/>
      <c r="AL94" s="13">
        <v>27.9</v>
      </c>
      <c r="AM94" s="13"/>
      <c r="AN94" s="13"/>
      <c r="AO94" s="13"/>
      <c r="AP94" s="13"/>
      <c r="AQ94" s="13"/>
      <c r="AR94" s="13"/>
      <c r="AS94" s="13"/>
      <c r="AT94" s="13"/>
      <c r="AU94" s="13"/>
      <c r="AV94" s="21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>
        <f t="shared" si="24"/>
        <v>3.5527136788005009E-15</v>
      </c>
      <c r="BN94" s="22">
        <f t="shared" si="25"/>
        <v>27.9</v>
      </c>
      <c r="BO94" s="23" t="str">
        <f t="shared" si="26"/>
        <v>ok</v>
      </c>
      <c r="BP94" s="22">
        <f t="shared" si="27"/>
        <v>36</v>
      </c>
      <c r="BQ94" s="22" t="str">
        <f t="shared" si="28"/>
        <v>ok</v>
      </c>
      <c r="BR94" s="56"/>
    </row>
    <row r="95" spans="1:70" s="12" customFormat="1" ht="24.95" customHeight="1" x14ac:dyDescent="0.25">
      <c r="A95" s="4" t="s">
        <v>207</v>
      </c>
      <c r="B95" s="15" t="s">
        <v>208</v>
      </c>
      <c r="C95" s="5">
        <v>70007</v>
      </c>
      <c r="D95" s="5" t="s">
        <v>730</v>
      </c>
      <c r="E95" s="16" t="s">
        <v>821</v>
      </c>
      <c r="F95" s="16">
        <v>2</v>
      </c>
      <c r="G95" s="16">
        <v>0</v>
      </c>
      <c r="H95" s="16" t="s">
        <v>27</v>
      </c>
      <c r="I95" s="16" t="s">
        <v>14</v>
      </c>
      <c r="J95" s="17"/>
      <c r="K95" s="17"/>
      <c r="L95" s="17"/>
      <c r="M95" s="17"/>
      <c r="N95" s="17"/>
      <c r="O95" s="13"/>
      <c r="P95" s="13"/>
      <c r="Q95" s="13">
        <v>91</v>
      </c>
      <c r="R95" s="6">
        <v>10</v>
      </c>
      <c r="S95" s="7">
        <v>0.08</v>
      </c>
      <c r="T95" s="62">
        <v>45</v>
      </c>
      <c r="U95" s="16">
        <v>171</v>
      </c>
      <c r="V95" s="16"/>
      <c r="W95" s="16">
        <v>130.5</v>
      </c>
      <c r="X95" s="18">
        <v>130.5</v>
      </c>
      <c r="Y95" s="16">
        <f t="shared" si="29"/>
        <v>0</v>
      </c>
      <c r="Z95" s="16">
        <f t="shared" si="30"/>
        <v>171</v>
      </c>
      <c r="AA95" s="4">
        <v>0</v>
      </c>
      <c r="AB95" s="4">
        <v>33</v>
      </c>
      <c r="AC95" s="4">
        <v>0</v>
      </c>
      <c r="AD95" s="4">
        <v>0</v>
      </c>
      <c r="AE95" s="19">
        <v>33</v>
      </c>
      <c r="AF95" s="13">
        <f t="shared" si="31"/>
        <v>2</v>
      </c>
      <c r="AG95" s="20">
        <f t="shared" si="23"/>
        <v>46031</v>
      </c>
      <c r="AH95" s="24"/>
      <c r="AI95" s="24"/>
      <c r="AJ95" s="24"/>
      <c r="AK95" s="24">
        <v>45</v>
      </c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>
        <v>45</v>
      </c>
      <c r="AY95" s="13"/>
      <c r="AZ95" s="13"/>
      <c r="BA95" s="13"/>
      <c r="BB95" s="13"/>
      <c r="BC95" s="13"/>
      <c r="BD95" s="13"/>
      <c r="BE95" s="13"/>
      <c r="BF95" s="13"/>
      <c r="BG95" s="13"/>
      <c r="BH95" s="13">
        <v>36</v>
      </c>
      <c r="BI95" s="13">
        <v>45</v>
      </c>
      <c r="BJ95" s="13"/>
      <c r="BK95" s="13"/>
      <c r="BL95" s="13"/>
      <c r="BM95" s="13">
        <f t="shared" si="24"/>
        <v>0</v>
      </c>
      <c r="BN95" s="22">
        <f t="shared" si="25"/>
        <v>45</v>
      </c>
      <c r="BO95" s="23" t="str">
        <f t="shared" si="26"/>
        <v>ok</v>
      </c>
      <c r="BP95" s="22">
        <f t="shared" si="27"/>
        <v>130.5</v>
      </c>
      <c r="BQ95" s="22" t="str">
        <f t="shared" si="28"/>
        <v>ok</v>
      </c>
      <c r="BR95" s="56"/>
    </row>
    <row r="96" spans="1:70" s="12" customFormat="1" ht="24.95" customHeight="1" x14ac:dyDescent="0.25">
      <c r="A96" s="4" t="s">
        <v>209</v>
      </c>
      <c r="B96" s="15" t="s">
        <v>210</v>
      </c>
      <c r="C96" s="5">
        <v>70007</v>
      </c>
      <c r="D96" s="5" t="s">
        <v>730</v>
      </c>
      <c r="E96" s="16" t="s">
        <v>822</v>
      </c>
      <c r="F96" s="16">
        <v>2</v>
      </c>
      <c r="G96" s="16">
        <v>0</v>
      </c>
      <c r="H96" s="16" t="s">
        <v>27</v>
      </c>
      <c r="I96" s="16" t="s">
        <v>14</v>
      </c>
      <c r="J96" s="17"/>
      <c r="K96" s="17"/>
      <c r="L96" s="17"/>
      <c r="M96" s="17"/>
      <c r="N96" s="17"/>
      <c r="O96" s="13"/>
      <c r="P96" s="13"/>
      <c r="Q96" s="13">
        <v>11</v>
      </c>
      <c r="R96" s="6">
        <v>10</v>
      </c>
      <c r="S96" s="7">
        <v>0.08</v>
      </c>
      <c r="T96" s="62">
        <v>45</v>
      </c>
      <c r="U96" s="16">
        <v>420.3</v>
      </c>
      <c r="V96" s="16"/>
      <c r="W96" s="16">
        <v>372</v>
      </c>
      <c r="X96" s="18">
        <v>372</v>
      </c>
      <c r="Y96" s="16">
        <f t="shared" si="29"/>
        <v>0</v>
      </c>
      <c r="Z96" s="16">
        <f t="shared" si="30"/>
        <v>420.3</v>
      </c>
      <c r="AA96" s="4">
        <v>90</v>
      </c>
      <c r="AB96" s="4">
        <v>135</v>
      </c>
      <c r="AC96" s="4">
        <v>0</v>
      </c>
      <c r="AD96" s="4">
        <v>24</v>
      </c>
      <c r="AE96" s="19">
        <v>249</v>
      </c>
      <c r="AF96" s="13">
        <f t="shared" si="31"/>
        <v>2</v>
      </c>
      <c r="AG96" s="20">
        <f t="shared" si="23"/>
        <v>46033</v>
      </c>
      <c r="AH96" s="13"/>
      <c r="AI96" s="13"/>
      <c r="AJ96" s="13"/>
      <c r="AK96" s="13">
        <v>45</v>
      </c>
      <c r="AL96" s="13"/>
      <c r="AM96" s="13"/>
      <c r="AN96" s="13">
        <v>45</v>
      </c>
      <c r="AO96" s="13"/>
      <c r="AP96" s="13"/>
      <c r="AQ96" s="13"/>
      <c r="AR96" s="13">
        <v>45</v>
      </c>
      <c r="AS96" s="13"/>
      <c r="AT96" s="13"/>
      <c r="AU96" s="13"/>
      <c r="AV96" s="21"/>
      <c r="AW96" s="13">
        <v>45</v>
      </c>
      <c r="AX96" s="13">
        <v>45</v>
      </c>
      <c r="AY96" s="13"/>
      <c r="AZ96" s="13"/>
      <c r="BA96" s="13"/>
      <c r="BB96" s="13"/>
      <c r="BC96" s="13"/>
      <c r="BD96" s="13">
        <v>45</v>
      </c>
      <c r="BE96" s="13"/>
      <c r="BF96" s="13"/>
      <c r="BG96" s="13">
        <v>45</v>
      </c>
      <c r="BH96" s="13"/>
      <c r="BI96" s="13">
        <v>45</v>
      </c>
      <c r="BJ96" s="13">
        <v>45</v>
      </c>
      <c r="BK96" s="13"/>
      <c r="BL96" s="13">
        <v>15.3</v>
      </c>
      <c r="BM96" s="13">
        <f t="shared" si="24"/>
        <v>15.300000000000011</v>
      </c>
      <c r="BN96" s="22">
        <f t="shared" si="25"/>
        <v>45</v>
      </c>
      <c r="BO96" s="23" t="str">
        <f t="shared" si="26"/>
        <v>ok</v>
      </c>
      <c r="BP96" s="22">
        <f t="shared" si="27"/>
        <v>372</v>
      </c>
      <c r="BQ96" s="22" t="str">
        <f t="shared" si="28"/>
        <v>ok</v>
      </c>
      <c r="BR96" s="56"/>
    </row>
    <row r="97" spans="1:70" s="12" customFormat="1" ht="24.95" customHeight="1" x14ac:dyDescent="0.25">
      <c r="A97" s="4" t="s">
        <v>211</v>
      </c>
      <c r="B97" s="15" t="s">
        <v>212</v>
      </c>
      <c r="C97" s="5">
        <v>70007</v>
      </c>
      <c r="D97" s="5" t="s">
        <v>730</v>
      </c>
      <c r="E97" s="16" t="s">
        <v>823</v>
      </c>
      <c r="F97" s="16">
        <v>2</v>
      </c>
      <c r="G97" s="16">
        <v>0</v>
      </c>
      <c r="H97" s="16" t="s">
        <v>27</v>
      </c>
      <c r="I97" s="16" t="s">
        <v>14</v>
      </c>
      <c r="J97" s="17"/>
      <c r="K97" s="17"/>
      <c r="L97" s="17"/>
      <c r="M97" s="17"/>
      <c r="N97" s="17"/>
      <c r="O97" s="13"/>
      <c r="P97" s="13"/>
      <c r="Q97" s="13">
        <v>28</v>
      </c>
      <c r="R97" s="6">
        <v>9</v>
      </c>
      <c r="S97" s="7">
        <v>0.08</v>
      </c>
      <c r="T97" s="62">
        <v>45</v>
      </c>
      <c r="U97" s="16">
        <v>445.5</v>
      </c>
      <c r="V97" s="16"/>
      <c r="W97" s="16">
        <v>268.5</v>
      </c>
      <c r="X97" s="18">
        <v>268.5</v>
      </c>
      <c r="Y97" s="16">
        <f t="shared" si="29"/>
        <v>0</v>
      </c>
      <c r="Z97" s="16">
        <f t="shared" si="30"/>
        <v>445.5</v>
      </c>
      <c r="AA97" s="4">
        <v>75</v>
      </c>
      <c r="AB97" s="4">
        <v>45</v>
      </c>
      <c r="AC97" s="4">
        <v>45</v>
      </c>
      <c r="AD97" s="4">
        <v>45</v>
      </c>
      <c r="AE97" s="19">
        <v>210</v>
      </c>
      <c r="AF97" s="13">
        <f t="shared" si="31"/>
        <v>2</v>
      </c>
      <c r="AG97" s="20">
        <f t="shared" si="23"/>
        <v>46033</v>
      </c>
      <c r="AH97" s="24">
        <v>45</v>
      </c>
      <c r="AI97" s="24"/>
      <c r="AJ97" s="24"/>
      <c r="AK97" s="24"/>
      <c r="AL97" s="24"/>
      <c r="AM97" s="24"/>
      <c r="AN97" s="24"/>
      <c r="AO97" s="24"/>
      <c r="AP97" s="24">
        <v>45</v>
      </c>
      <c r="AQ97" s="24">
        <v>45</v>
      </c>
      <c r="AR97" s="24"/>
      <c r="AS97" s="24"/>
      <c r="AT97" s="24">
        <v>45</v>
      </c>
      <c r="AU97" s="24"/>
      <c r="AV97" s="24"/>
      <c r="AW97" s="24"/>
      <c r="AX97" s="24">
        <v>45</v>
      </c>
      <c r="AY97" s="13">
        <v>45</v>
      </c>
      <c r="AZ97" s="13"/>
      <c r="BA97" s="13">
        <v>45</v>
      </c>
      <c r="BB97" s="13"/>
      <c r="BC97" s="13"/>
      <c r="BD97" s="13">
        <v>40.5</v>
      </c>
      <c r="BE97" s="13"/>
      <c r="BF97" s="13"/>
      <c r="BG97" s="13"/>
      <c r="BH97" s="13">
        <v>45</v>
      </c>
      <c r="BI97" s="13"/>
      <c r="BJ97" s="13"/>
      <c r="BK97" s="13">
        <v>45</v>
      </c>
      <c r="BL97" s="13"/>
      <c r="BM97" s="13">
        <f t="shared" si="24"/>
        <v>45</v>
      </c>
      <c r="BN97" s="22">
        <f t="shared" si="25"/>
        <v>45</v>
      </c>
      <c r="BO97" s="23" t="str">
        <f t="shared" si="26"/>
        <v>ok</v>
      </c>
      <c r="BP97" s="22">
        <f t="shared" si="27"/>
        <v>268.5</v>
      </c>
      <c r="BQ97" s="22" t="str">
        <f t="shared" si="28"/>
        <v>ok</v>
      </c>
      <c r="BR97" s="56"/>
    </row>
    <row r="98" spans="1:70" s="12" customFormat="1" ht="24.95" customHeight="1" x14ac:dyDescent="0.25">
      <c r="A98" s="4" t="s">
        <v>213</v>
      </c>
      <c r="B98" s="15" t="s">
        <v>214</v>
      </c>
      <c r="C98" s="5">
        <v>70007</v>
      </c>
      <c r="D98" s="5" t="s">
        <v>730</v>
      </c>
      <c r="E98" s="16" t="s">
        <v>824</v>
      </c>
      <c r="F98" s="16">
        <v>2</v>
      </c>
      <c r="G98" s="16">
        <v>0</v>
      </c>
      <c r="H98" s="16" t="s">
        <v>27</v>
      </c>
      <c r="I98" s="16" t="s">
        <v>14</v>
      </c>
      <c r="J98" s="17"/>
      <c r="K98" s="17"/>
      <c r="L98" s="17"/>
      <c r="M98" s="17"/>
      <c r="N98" s="17"/>
      <c r="O98" s="13"/>
      <c r="P98" s="13"/>
      <c r="Q98" s="13">
        <v>48</v>
      </c>
      <c r="R98" s="6">
        <v>9</v>
      </c>
      <c r="S98" s="7">
        <v>0.08</v>
      </c>
      <c r="T98" s="62">
        <v>45</v>
      </c>
      <c r="U98" s="16">
        <v>283.5</v>
      </c>
      <c r="V98" s="16"/>
      <c r="W98" s="16">
        <v>277.5</v>
      </c>
      <c r="X98" s="18">
        <v>277.5</v>
      </c>
      <c r="Y98" s="16">
        <f t="shared" si="29"/>
        <v>0</v>
      </c>
      <c r="Z98" s="16">
        <f t="shared" si="30"/>
        <v>283.5</v>
      </c>
      <c r="AA98" s="4">
        <v>45</v>
      </c>
      <c r="AB98" s="4">
        <v>0</v>
      </c>
      <c r="AC98" s="4">
        <v>0</v>
      </c>
      <c r="AD98" s="4">
        <v>0</v>
      </c>
      <c r="AE98" s="19">
        <v>45</v>
      </c>
      <c r="AF98" s="13">
        <f t="shared" si="31"/>
        <v>2</v>
      </c>
      <c r="AG98" s="20">
        <f t="shared" si="23"/>
        <v>46031</v>
      </c>
      <c r="AH98" s="13"/>
      <c r="AI98" s="13"/>
      <c r="AJ98" s="13"/>
      <c r="AK98" s="13"/>
      <c r="AL98" s="13"/>
      <c r="AM98" s="13"/>
      <c r="AN98" s="13">
        <v>13.5</v>
      </c>
      <c r="AO98" s="13"/>
      <c r="AP98" s="13"/>
      <c r="AQ98" s="13">
        <v>45</v>
      </c>
      <c r="AR98" s="13">
        <v>45</v>
      </c>
      <c r="AS98" s="13"/>
      <c r="AT98" s="13">
        <v>45</v>
      </c>
      <c r="AU98" s="13"/>
      <c r="AV98" s="21"/>
      <c r="AW98" s="13"/>
      <c r="AX98" s="13"/>
      <c r="AY98" s="13"/>
      <c r="AZ98" s="13"/>
      <c r="BA98" s="13"/>
      <c r="BB98" s="13"/>
      <c r="BC98" s="13"/>
      <c r="BD98" s="13"/>
      <c r="BE98" s="13"/>
      <c r="BF98" s="13">
        <v>45</v>
      </c>
      <c r="BG98" s="13"/>
      <c r="BH98" s="13"/>
      <c r="BI98" s="13"/>
      <c r="BJ98" s="13">
        <v>45</v>
      </c>
      <c r="BK98" s="13">
        <v>45</v>
      </c>
      <c r="BL98" s="13"/>
      <c r="BM98" s="13">
        <f t="shared" si="24"/>
        <v>45</v>
      </c>
      <c r="BN98" s="22">
        <f t="shared" si="25"/>
        <v>45</v>
      </c>
      <c r="BO98" s="23" t="str">
        <f t="shared" si="26"/>
        <v>ok</v>
      </c>
      <c r="BP98" s="22">
        <f t="shared" si="27"/>
        <v>277.5</v>
      </c>
      <c r="BQ98" s="22" t="str">
        <f t="shared" si="28"/>
        <v>ok</v>
      </c>
      <c r="BR98" s="56"/>
    </row>
    <row r="99" spans="1:70" s="12" customFormat="1" ht="24.95" customHeight="1" x14ac:dyDescent="0.25">
      <c r="A99" s="4" t="s">
        <v>215</v>
      </c>
      <c r="B99" s="15" t="s">
        <v>216</v>
      </c>
      <c r="C99" s="5">
        <v>70007</v>
      </c>
      <c r="D99" s="5" t="s">
        <v>730</v>
      </c>
      <c r="E99" s="16" t="s">
        <v>825</v>
      </c>
      <c r="F99" s="16">
        <v>1</v>
      </c>
      <c r="G99" s="16">
        <v>0</v>
      </c>
      <c r="H99" s="16" t="s">
        <v>27</v>
      </c>
      <c r="I99" s="16" t="s">
        <v>14</v>
      </c>
      <c r="J99" s="17"/>
      <c r="K99" s="17"/>
      <c r="L99" s="17"/>
      <c r="M99" s="17"/>
      <c r="N99" s="17"/>
      <c r="O99" s="13"/>
      <c r="P99" s="13"/>
      <c r="Q99" s="13">
        <v>24</v>
      </c>
      <c r="R99" s="6">
        <v>10</v>
      </c>
      <c r="S99" s="7">
        <v>0.08</v>
      </c>
      <c r="T99" s="62">
        <v>45</v>
      </c>
      <c r="U99" s="16">
        <v>39.6</v>
      </c>
      <c r="V99" s="16"/>
      <c r="W99" s="16">
        <v>45</v>
      </c>
      <c r="X99" s="18">
        <v>45</v>
      </c>
      <c r="Y99" s="16">
        <f t="shared" si="29"/>
        <v>0</v>
      </c>
      <c r="Z99" s="16">
        <f t="shared" si="30"/>
        <v>39.6</v>
      </c>
      <c r="AA99" s="4">
        <v>0</v>
      </c>
      <c r="AB99" s="4">
        <v>0</v>
      </c>
      <c r="AC99" s="4">
        <v>0</v>
      </c>
      <c r="AD99" s="4">
        <v>0</v>
      </c>
      <c r="AE99" s="19">
        <v>0</v>
      </c>
      <c r="AF99" s="13">
        <f t="shared" si="31"/>
        <v>2</v>
      </c>
      <c r="AG99" s="20">
        <f t="shared" si="23"/>
        <v>46031</v>
      </c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21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>
        <v>39.6</v>
      </c>
      <c r="BM99" s="13">
        <f t="shared" si="24"/>
        <v>39.6</v>
      </c>
      <c r="BN99" s="22">
        <f t="shared" si="25"/>
        <v>0</v>
      </c>
      <c r="BO99" s="23" t="str">
        <f t="shared" si="26"/>
        <v>ok</v>
      </c>
      <c r="BP99" s="22">
        <f t="shared" si="27"/>
        <v>45</v>
      </c>
      <c r="BQ99" s="22" t="str">
        <f t="shared" si="28"/>
        <v>ok</v>
      </c>
      <c r="BR99" s="56"/>
    </row>
    <row r="100" spans="1:70" s="12" customFormat="1" ht="24.95" customHeight="1" x14ac:dyDescent="0.25">
      <c r="A100" s="4" t="s">
        <v>217</v>
      </c>
      <c r="B100" s="15" t="s">
        <v>218</v>
      </c>
      <c r="C100" s="5">
        <v>70007</v>
      </c>
      <c r="D100" s="5" t="s">
        <v>730</v>
      </c>
      <c r="E100" s="16" t="s">
        <v>826</v>
      </c>
      <c r="F100" s="16">
        <v>3</v>
      </c>
      <c r="G100" s="16">
        <v>0</v>
      </c>
      <c r="H100" s="16" t="s">
        <v>27</v>
      </c>
      <c r="I100" s="16" t="s">
        <v>14</v>
      </c>
      <c r="J100" s="17"/>
      <c r="K100" s="17"/>
      <c r="L100" s="17"/>
      <c r="M100" s="17"/>
      <c r="N100" s="17"/>
      <c r="O100" s="13"/>
      <c r="P100" s="13"/>
      <c r="Q100" s="13">
        <v>69</v>
      </c>
      <c r="R100" s="6">
        <v>10</v>
      </c>
      <c r="S100" s="7">
        <v>0.08</v>
      </c>
      <c r="T100" s="62">
        <v>45</v>
      </c>
      <c r="U100" s="16">
        <v>405</v>
      </c>
      <c r="V100" s="16"/>
      <c r="W100" s="16">
        <v>447</v>
      </c>
      <c r="X100" s="18">
        <v>447</v>
      </c>
      <c r="Y100" s="16">
        <f t="shared" si="29"/>
        <v>0</v>
      </c>
      <c r="Z100" s="16">
        <f t="shared" si="30"/>
        <v>405</v>
      </c>
      <c r="AA100" s="4">
        <v>90</v>
      </c>
      <c r="AB100" s="4">
        <v>45</v>
      </c>
      <c r="AC100" s="4">
        <v>45</v>
      </c>
      <c r="AD100" s="4">
        <v>90</v>
      </c>
      <c r="AE100" s="19">
        <v>270</v>
      </c>
      <c r="AF100" s="13">
        <f t="shared" si="31"/>
        <v>2</v>
      </c>
      <c r="AG100" s="20">
        <f t="shared" si="23"/>
        <v>46033</v>
      </c>
      <c r="AH100" s="24"/>
      <c r="AI100" s="24"/>
      <c r="AJ100" s="24"/>
      <c r="AK100" s="24">
        <v>45</v>
      </c>
      <c r="AL100" s="24">
        <v>45</v>
      </c>
      <c r="AM100" s="24"/>
      <c r="AN100" s="24"/>
      <c r="AO100" s="24"/>
      <c r="AP100" s="24"/>
      <c r="AQ100" s="24"/>
      <c r="AR100" s="24"/>
      <c r="AS100" s="24">
        <v>45</v>
      </c>
      <c r="AT100" s="24"/>
      <c r="AU100" s="24"/>
      <c r="AV100" s="24"/>
      <c r="AW100" s="24"/>
      <c r="AX100" s="24"/>
      <c r="AY100" s="13"/>
      <c r="AZ100" s="13"/>
      <c r="BA100" s="13"/>
      <c r="BB100" s="13">
        <v>45</v>
      </c>
      <c r="BC100" s="13">
        <v>45</v>
      </c>
      <c r="BD100" s="13">
        <v>45</v>
      </c>
      <c r="BE100" s="13"/>
      <c r="BF100" s="13">
        <v>45</v>
      </c>
      <c r="BG100" s="13">
        <v>45</v>
      </c>
      <c r="BH100" s="13"/>
      <c r="BI100" s="13">
        <v>45</v>
      </c>
      <c r="BJ100" s="13"/>
      <c r="BK100" s="13"/>
      <c r="BL100" s="13"/>
      <c r="BM100" s="13">
        <f t="shared" si="24"/>
        <v>0</v>
      </c>
      <c r="BN100" s="22">
        <f t="shared" si="25"/>
        <v>45</v>
      </c>
      <c r="BO100" s="23" t="str">
        <f t="shared" si="26"/>
        <v>ok</v>
      </c>
      <c r="BP100" s="22">
        <f t="shared" si="27"/>
        <v>447</v>
      </c>
      <c r="BQ100" s="22" t="str">
        <f t="shared" si="28"/>
        <v>ok</v>
      </c>
      <c r="BR100" s="56"/>
    </row>
    <row r="101" spans="1:70" s="12" customFormat="1" ht="24.95" customHeight="1" x14ac:dyDescent="0.25">
      <c r="A101" s="4" t="s">
        <v>219</v>
      </c>
      <c r="B101" s="15" t="s">
        <v>220</v>
      </c>
      <c r="C101" s="5">
        <v>70007</v>
      </c>
      <c r="D101" s="5" t="s">
        <v>730</v>
      </c>
      <c r="E101" s="16" t="s">
        <v>827</v>
      </c>
      <c r="F101" s="16">
        <v>2</v>
      </c>
      <c r="G101" s="16">
        <v>0</v>
      </c>
      <c r="H101" s="16" t="s">
        <v>27</v>
      </c>
      <c r="I101" s="16" t="s">
        <v>14</v>
      </c>
      <c r="J101" s="17"/>
      <c r="K101" s="17"/>
      <c r="L101" s="17"/>
      <c r="M101" s="17"/>
      <c r="N101" s="17"/>
      <c r="O101" s="13"/>
      <c r="P101" s="13"/>
      <c r="Q101" s="13">
        <v>24</v>
      </c>
      <c r="R101" s="6">
        <v>9</v>
      </c>
      <c r="S101" s="7">
        <v>0.08</v>
      </c>
      <c r="T101" s="62">
        <v>45</v>
      </c>
      <c r="U101" s="16">
        <v>9</v>
      </c>
      <c r="V101" s="16"/>
      <c r="W101" s="16">
        <v>97.5</v>
      </c>
      <c r="X101" s="18">
        <v>97.5</v>
      </c>
      <c r="Y101" s="16">
        <f t="shared" si="29"/>
        <v>0</v>
      </c>
      <c r="Z101" s="16">
        <f t="shared" si="30"/>
        <v>9</v>
      </c>
      <c r="AA101" s="4">
        <v>0</v>
      </c>
      <c r="AB101" s="4">
        <v>0</v>
      </c>
      <c r="AC101" s="4">
        <v>0</v>
      </c>
      <c r="AD101" s="4">
        <v>0</v>
      </c>
      <c r="AE101" s="19">
        <v>0</v>
      </c>
      <c r="AF101" s="13">
        <f t="shared" si="31"/>
        <v>2</v>
      </c>
      <c r="AG101" s="20">
        <f t="shared" si="23"/>
        <v>46031</v>
      </c>
      <c r="AH101" s="13"/>
      <c r="AI101" s="13"/>
      <c r="AJ101" s="13"/>
      <c r="AK101" s="13"/>
      <c r="AL101" s="13"/>
      <c r="AM101" s="13">
        <v>9</v>
      </c>
      <c r="AN101" s="13"/>
      <c r="AO101" s="13"/>
      <c r="AP101" s="13"/>
      <c r="AQ101" s="13"/>
      <c r="AR101" s="13"/>
      <c r="AS101" s="13"/>
      <c r="AT101" s="13"/>
      <c r="AU101" s="13"/>
      <c r="AV101" s="21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>
        <f t="shared" si="24"/>
        <v>0</v>
      </c>
      <c r="BN101" s="22">
        <f t="shared" si="25"/>
        <v>9</v>
      </c>
      <c r="BO101" s="23" t="str">
        <f t="shared" si="26"/>
        <v>ok</v>
      </c>
      <c r="BP101" s="22">
        <f t="shared" si="27"/>
        <v>97.5</v>
      </c>
      <c r="BQ101" s="22" t="str">
        <f t="shared" si="28"/>
        <v>ok</v>
      </c>
      <c r="BR101" s="56"/>
    </row>
    <row r="102" spans="1:70" s="12" customFormat="1" ht="24.95" customHeight="1" x14ac:dyDescent="0.25">
      <c r="A102" s="4" t="s">
        <v>221</v>
      </c>
      <c r="B102" s="15" t="s">
        <v>222</v>
      </c>
      <c r="C102" s="5">
        <v>70007</v>
      </c>
      <c r="D102" s="5" t="s">
        <v>730</v>
      </c>
      <c r="E102" s="16" t="s">
        <v>828</v>
      </c>
      <c r="F102" s="16">
        <v>2</v>
      </c>
      <c r="G102" s="16">
        <v>0</v>
      </c>
      <c r="H102" s="16" t="s">
        <v>27</v>
      </c>
      <c r="I102" s="16" t="s">
        <v>14</v>
      </c>
      <c r="J102" s="17"/>
      <c r="K102" s="17"/>
      <c r="L102" s="17"/>
      <c r="M102" s="17"/>
      <c r="N102" s="17"/>
      <c r="O102" s="13"/>
      <c r="P102" s="13"/>
      <c r="Q102" s="13">
        <v>29</v>
      </c>
      <c r="R102" s="6">
        <v>9</v>
      </c>
      <c r="S102" s="7">
        <v>0.08</v>
      </c>
      <c r="T102" s="62">
        <v>45</v>
      </c>
      <c r="U102" s="16">
        <v>339.3</v>
      </c>
      <c r="V102" s="16"/>
      <c r="W102" s="16">
        <v>222</v>
      </c>
      <c r="X102" s="18">
        <v>222</v>
      </c>
      <c r="Y102" s="16">
        <f t="shared" si="29"/>
        <v>0</v>
      </c>
      <c r="Z102" s="16">
        <f t="shared" si="30"/>
        <v>339.3</v>
      </c>
      <c r="AA102" s="4">
        <v>45</v>
      </c>
      <c r="AB102" s="4">
        <v>0</v>
      </c>
      <c r="AC102" s="4">
        <v>58</v>
      </c>
      <c r="AD102" s="4">
        <v>0</v>
      </c>
      <c r="AE102" s="19">
        <v>103</v>
      </c>
      <c r="AF102" s="13">
        <f t="shared" si="31"/>
        <v>2</v>
      </c>
      <c r="AG102" s="20">
        <f t="shared" si="23"/>
        <v>46032</v>
      </c>
      <c r="AH102" s="13"/>
      <c r="AI102" s="13"/>
      <c r="AJ102" s="13"/>
      <c r="AK102" s="13"/>
      <c r="AL102" s="13"/>
      <c r="AM102" s="13"/>
      <c r="AN102" s="13"/>
      <c r="AO102" s="13"/>
      <c r="AP102" s="13"/>
      <c r="AQ102" s="13">
        <v>45</v>
      </c>
      <c r="AR102" s="13">
        <v>45</v>
      </c>
      <c r="AS102" s="13"/>
      <c r="AT102" s="13">
        <v>45</v>
      </c>
      <c r="AU102" s="13">
        <v>24.3</v>
      </c>
      <c r="AV102" s="21"/>
      <c r="AW102" s="13"/>
      <c r="AX102" s="13">
        <v>45</v>
      </c>
      <c r="AY102" s="13"/>
      <c r="AZ102" s="13"/>
      <c r="BA102" s="13"/>
      <c r="BB102" s="13"/>
      <c r="BC102" s="13"/>
      <c r="BD102" s="13"/>
      <c r="BE102" s="13"/>
      <c r="BF102" s="13">
        <v>45</v>
      </c>
      <c r="BG102" s="13"/>
      <c r="BH102" s="13"/>
      <c r="BI102" s="13"/>
      <c r="BJ102" s="13">
        <v>45</v>
      </c>
      <c r="BK102" s="13">
        <v>45</v>
      </c>
      <c r="BL102" s="13"/>
      <c r="BM102" s="13">
        <f t="shared" si="24"/>
        <v>45</v>
      </c>
      <c r="BN102" s="22">
        <f t="shared" si="25"/>
        <v>45</v>
      </c>
      <c r="BO102" s="23" t="str">
        <f t="shared" si="26"/>
        <v>ok</v>
      </c>
      <c r="BP102" s="22">
        <f t="shared" si="27"/>
        <v>222</v>
      </c>
      <c r="BQ102" s="22" t="str">
        <f t="shared" si="28"/>
        <v>ok</v>
      </c>
      <c r="BR102" s="56"/>
    </row>
    <row r="103" spans="1:70" s="12" customFormat="1" ht="24.95" customHeight="1" x14ac:dyDescent="0.25">
      <c r="A103" s="4" t="s">
        <v>223</v>
      </c>
      <c r="B103" s="15" t="s">
        <v>224</v>
      </c>
      <c r="C103" s="5">
        <v>70007</v>
      </c>
      <c r="D103" s="5" t="s">
        <v>730</v>
      </c>
      <c r="E103" s="16" t="s">
        <v>829</v>
      </c>
      <c r="F103" s="16">
        <v>2</v>
      </c>
      <c r="G103" s="16">
        <v>0</v>
      </c>
      <c r="H103" s="16" t="s">
        <v>27</v>
      </c>
      <c r="I103" s="16" t="s">
        <v>14</v>
      </c>
      <c r="J103" s="17"/>
      <c r="K103" s="17"/>
      <c r="L103" s="17"/>
      <c r="M103" s="17"/>
      <c r="N103" s="17"/>
      <c r="O103" s="13"/>
      <c r="P103" s="13"/>
      <c r="Q103" s="13">
        <v>11</v>
      </c>
      <c r="R103" s="6">
        <v>10</v>
      </c>
      <c r="S103" s="7">
        <v>0.08</v>
      </c>
      <c r="T103" s="62">
        <v>45</v>
      </c>
      <c r="U103" s="16">
        <v>445.5</v>
      </c>
      <c r="V103" s="16"/>
      <c r="W103" s="16">
        <v>385.5</v>
      </c>
      <c r="X103" s="18">
        <v>385.5</v>
      </c>
      <c r="Y103" s="16">
        <f t="shared" si="29"/>
        <v>0</v>
      </c>
      <c r="Z103" s="16">
        <f t="shared" si="30"/>
        <v>445.5</v>
      </c>
      <c r="AA103" s="4">
        <v>70</v>
      </c>
      <c r="AB103" s="4">
        <v>45</v>
      </c>
      <c r="AC103" s="4">
        <v>45</v>
      </c>
      <c r="AD103" s="4">
        <v>90</v>
      </c>
      <c r="AE103" s="19">
        <v>250</v>
      </c>
      <c r="AF103" s="13">
        <f t="shared" si="31"/>
        <v>2</v>
      </c>
      <c r="AG103" s="20">
        <f t="shared" si="23"/>
        <v>46033</v>
      </c>
      <c r="AH103" s="13"/>
      <c r="AI103" s="13"/>
      <c r="AJ103" s="13"/>
      <c r="AK103" s="13">
        <v>45</v>
      </c>
      <c r="AL103" s="13"/>
      <c r="AM103" s="13"/>
      <c r="AN103" s="13">
        <v>45</v>
      </c>
      <c r="AO103" s="13"/>
      <c r="AP103" s="13"/>
      <c r="AQ103" s="13"/>
      <c r="AR103" s="13">
        <v>45</v>
      </c>
      <c r="AS103" s="13"/>
      <c r="AT103" s="13"/>
      <c r="AU103" s="13"/>
      <c r="AV103" s="21"/>
      <c r="AW103" s="13">
        <v>45</v>
      </c>
      <c r="AX103" s="13"/>
      <c r="AY103" s="13"/>
      <c r="AZ103" s="13"/>
      <c r="BA103" s="13"/>
      <c r="BB103" s="13"/>
      <c r="BC103" s="13">
        <v>45</v>
      </c>
      <c r="BD103" s="13"/>
      <c r="BE103" s="13"/>
      <c r="BF103" s="13">
        <v>45</v>
      </c>
      <c r="BG103" s="13">
        <v>45</v>
      </c>
      <c r="BH103" s="13"/>
      <c r="BI103" s="13">
        <v>45</v>
      </c>
      <c r="BJ103" s="13">
        <v>45</v>
      </c>
      <c r="BK103" s="13"/>
      <c r="BL103" s="13">
        <v>40.5</v>
      </c>
      <c r="BM103" s="13">
        <f t="shared" si="24"/>
        <v>40.5</v>
      </c>
      <c r="BN103" s="22">
        <f t="shared" si="25"/>
        <v>45</v>
      </c>
      <c r="BO103" s="23" t="str">
        <f t="shared" si="26"/>
        <v>ok</v>
      </c>
      <c r="BP103" s="22">
        <f t="shared" si="27"/>
        <v>385.5</v>
      </c>
      <c r="BQ103" s="22" t="str">
        <f t="shared" si="28"/>
        <v>ok</v>
      </c>
      <c r="BR103" s="56"/>
    </row>
    <row r="104" spans="1:70" s="12" customFormat="1" ht="24.95" customHeight="1" x14ac:dyDescent="0.25">
      <c r="A104" s="4" t="s">
        <v>225</v>
      </c>
      <c r="B104" s="15" t="s">
        <v>226</v>
      </c>
      <c r="C104" s="5">
        <v>70007</v>
      </c>
      <c r="D104" s="5" t="s">
        <v>730</v>
      </c>
      <c r="E104" s="16" t="s">
        <v>830</v>
      </c>
      <c r="F104" s="16">
        <v>2</v>
      </c>
      <c r="G104" s="16">
        <v>0</v>
      </c>
      <c r="H104" s="16" t="s">
        <v>27</v>
      </c>
      <c r="I104" s="16" t="s">
        <v>14</v>
      </c>
      <c r="J104" s="17"/>
      <c r="K104" s="17"/>
      <c r="L104" s="17"/>
      <c r="M104" s="17"/>
      <c r="N104" s="17"/>
      <c r="O104" s="13"/>
      <c r="P104" s="13"/>
      <c r="Q104" s="13">
        <v>11</v>
      </c>
      <c r="R104" s="6">
        <v>10</v>
      </c>
      <c r="S104" s="7">
        <v>0.08</v>
      </c>
      <c r="T104" s="62">
        <v>45</v>
      </c>
      <c r="U104" s="16">
        <v>459</v>
      </c>
      <c r="V104" s="16"/>
      <c r="W104" s="16">
        <v>642</v>
      </c>
      <c r="X104" s="18">
        <v>642</v>
      </c>
      <c r="Y104" s="16">
        <f t="shared" si="29"/>
        <v>-9</v>
      </c>
      <c r="Z104" s="16">
        <f t="shared" si="30"/>
        <v>450</v>
      </c>
      <c r="AA104" s="4">
        <v>90</v>
      </c>
      <c r="AB104" s="4">
        <v>45</v>
      </c>
      <c r="AC104" s="4">
        <v>135</v>
      </c>
      <c r="AD104" s="4">
        <v>90</v>
      </c>
      <c r="AE104" s="19">
        <v>360</v>
      </c>
      <c r="AF104" s="13">
        <f t="shared" si="31"/>
        <v>2</v>
      </c>
      <c r="AG104" s="20">
        <f t="shared" si="23"/>
        <v>46033</v>
      </c>
      <c r="AH104" s="13"/>
      <c r="AI104" s="13"/>
      <c r="AJ104" s="13"/>
      <c r="AK104" s="13"/>
      <c r="AL104" s="13"/>
      <c r="AM104" s="13"/>
      <c r="AN104" s="13">
        <v>45</v>
      </c>
      <c r="AO104" s="13"/>
      <c r="AP104" s="13"/>
      <c r="AQ104" s="13"/>
      <c r="AR104" s="13">
        <v>45</v>
      </c>
      <c r="AS104" s="13"/>
      <c r="AT104" s="13"/>
      <c r="AU104" s="13"/>
      <c r="AV104" s="21"/>
      <c r="AW104" s="13"/>
      <c r="AX104" s="13">
        <v>45</v>
      </c>
      <c r="AY104" s="13"/>
      <c r="AZ104" s="13"/>
      <c r="BA104" s="13"/>
      <c r="BB104" s="13"/>
      <c r="BC104" s="13"/>
      <c r="BD104" s="13">
        <v>45</v>
      </c>
      <c r="BE104" s="13"/>
      <c r="BF104" s="13">
        <v>45</v>
      </c>
      <c r="BG104" s="13">
        <v>45</v>
      </c>
      <c r="BH104" s="13">
        <v>45</v>
      </c>
      <c r="BI104" s="13">
        <v>45</v>
      </c>
      <c r="BJ104" s="13">
        <v>45</v>
      </c>
      <c r="BK104" s="13"/>
      <c r="BL104" s="13">
        <v>45</v>
      </c>
      <c r="BM104" s="13">
        <f t="shared" si="24"/>
        <v>54</v>
      </c>
      <c r="BN104" s="22">
        <f t="shared" si="25"/>
        <v>45</v>
      </c>
      <c r="BO104" s="23" t="str">
        <f t="shared" si="26"/>
        <v>ok</v>
      </c>
      <c r="BP104" s="22">
        <f t="shared" si="27"/>
        <v>642</v>
      </c>
      <c r="BQ104" s="22" t="str">
        <f t="shared" si="28"/>
        <v>ok</v>
      </c>
      <c r="BR104" s="56" t="s">
        <v>28</v>
      </c>
    </row>
    <row r="105" spans="1:70" s="12" customFormat="1" ht="24.95" customHeight="1" x14ac:dyDescent="0.25">
      <c r="A105" s="4" t="s">
        <v>227</v>
      </c>
      <c r="B105" s="15" t="s">
        <v>228</v>
      </c>
      <c r="C105" s="5">
        <v>70007</v>
      </c>
      <c r="D105" s="5" t="s">
        <v>730</v>
      </c>
      <c r="E105" s="16" t="s">
        <v>831</v>
      </c>
      <c r="F105" s="16">
        <v>2</v>
      </c>
      <c r="G105" s="16">
        <v>1</v>
      </c>
      <c r="H105" s="16" t="s">
        <v>27</v>
      </c>
      <c r="I105" s="16" t="s">
        <v>14</v>
      </c>
      <c r="J105" s="17"/>
      <c r="K105" s="17"/>
      <c r="L105" s="17"/>
      <c r="M105" s="17"/>
      <c r="N105" s="17"/>
      <c r="O105" s="13"/>
      <c r="P105" s="13"/>
      <c r="Q105" s="13">
        <v>33</v>
      </c>
      <c r="R105" s="6">
        <v>22</v>
      </c>
      <c r="S105" s="7">
        <v>0.08</v>
      </c>
      <c r="T105" s="62">
        <v>45</v>
      </c>
      <c r="U105" s="16">
        <v>688.5</v>
      </c>
      <c r="V105" s="16"/>
      <c r="W105" s="16">
        <v>639</v>
      </c>
      <c r="X105" s="18">
        <v>639</v>
      </c>
      <c r="Y105" s="16">
        <f t="shared" si="29"/>
        <v>0</v>
      </c>
      <c r="Z105" s="16">
        <f t="shared" si="30"/>
        <v>688.5</v>
      </c>
      <c r="AA105" s="4">
        <v>90</v>
      </c>
      <c r="AB105" s="4">
        <v>90</v>
      </c>
      <c r="AC105" s="4">
        <v>90</v>
      </c>
      <c r="AD105" s="4">
        <v>135</v>
      </c>
      <c r="AE105" s="19">
        <v>405</v>
      </c>
      <c r="AF105" s="13">
        <f t="shared" si="31"/>
        <v>2</v>
      </c>
      <c r="AG105" s="20">
        <f t="shared" si="23"/>
        <v>46033</v>
      </c>
      <c r="AH105" s="13"/>
      <c r="AI105" s="13">
        <v>45</v>
      </c>
      <c r="AJ105" s="13">
        <v>45</v>
      </c>
      <c r="AK105" s="13">
        <v>45</v>
      </c>
      <c r="AL105" s="13"/>
      <c r="AM105" s="13">
        <v>45</v>
      </c>
      <c r="AN105" s="13">
        <v>13.5</v>
      </c>
      <c r="AO105" s="13">
        <v>45</v>
      </c>
      <c r="AP105" s="13"/>
      <c r="AQ105" s="13"/>
      <c r="AR105" s="13">
        <v>45</v>
      </c>
      <c r="AS105" s="13"/>
      <c r="AT105" s="13"/>
      <c r="AU105" s="13">
        <v>45</v>
      </c>
      <c r="AV105" s="21">
        <v>45</v>
      </c>
      <c r="AW105" s="13"/>
      <c r="AX105" s="13"/>
      <c r="AY105" s="13"/>
      <c r="AZ105" s="13">
        <v>45</v>
      </c>
      <c r="BA105" s="13"/>
      <c r="BB105" s="13">
        <v>45</v>
      </c>
      <c r="BC105" s="13"/>
      <c r="BD105" s="13"/>
      <c r="BE105" s="13">
        <v>45</v>
      </c>
      <c r="BF105" s="13">
        <v>45</v>
      </c>
      <c r="BG105" s="13">
        <v>45</v>
      </c>
      <c r="BH105" s="13">
        <v>45</v>
      </c>
      <c r="BI105" s="13"/>
      <c r="BJ105" s="13"/>
      <c r="BK105" s="13">
        <v>45</v>
      </c>
      <c r="BL105" s="13"/>
      <c r="BM105" s="13">
        <f t="shared" si="24"/>
        <v>45</v>
      </c>
      <c r="BN105" s="22">
        <f t="shared" si="25"/>
        <v>45</v>
      </c>
      <c r="BO105" s="23" t="str">
        <f t="shared" si="26"/>
        <v>ok</v>
      </c>
      <c r="BP105" s="22">
        <f t="shared" si="27"/>
        <v>639</v>
      </c>
      <c r="BQ105" s="22" t="str">
        <f t="shared" si="28"/>
        <v>ok</v>
      </c>
      <c r="BR105" s="56"/>
    </row>
    <row r="106" spans="1:70" s="12" customFormat="1" ht="24.95" customHeight="1" x14ac:dyDescent="0.25">
      <c r="A106" s="4" t="s">
        <v>229</v>
      </c>
      <c r="B106" s="15" t="s">
        <v>230</v>
      </c>
      <c r="C106" s="5">
        <v>70007</v>
      </c>
      <c r="D106" s="5" t="s">
        <v>730</v>
      </c>
      <c r="E106" s="16" t="s">
        <v>832</v>
      </c>
      <c r="F106" s="16">
        <v>1</v>
      </c>
      <c r="G106" s="16">
        <v>0</v>
      </c>
      <c r="H106" s="16" t="s">
        <v>27</v>
      </c>
      <c r="I106" s="16" t="s">
        <v>14</v>
      </c>
      <c r="J106" s="17"/>
      <c r="K106" s="17"/>
      <c r="L106" s="17"/>
      <c r="M106" s="17"/>
      <c r="N106" s="17"/>
      <c r="O106" s="13"/>
      <c r="P106" s="13"/>
      <c r="Q106" s="13">
        <v>16</v>
      </c>
      <c r="R106" s="6">
        <v>16</v>
      </c>
      <c r="S106" s="7">
        <v>0.08</v>
      </c>
      <c r="T106" s="62">
        <v>45</v>
      </c>
      <c r="U106" s="16">
        <v>53.1</v>
      </c>
      <c r="V106" s="16"/>
      <c r="W106" s="16">
        <v>67.5</v>
      </c>
      <c r="X106" s="18">
        <v>67.5</v>
      </c>
      <c r="Y106" s="16">
        <f t="shared" si="29"/>
        <v>-8.1000000000000014</v>
      </c>
      <c r="Z106" s="16">
        <f t="shared" si="30"/>
        <v>45</v>
      </c>
      <c r="AA106" s="4">
        <v>0</v>
      </c>
      <c r="AB106" s="4">
        <v>0</v>
      </c>
      <c r="AC106" s="4">
        <v>0</v>
      </c>
      <c r="AD106" s="4">
        <v>0</v>
      </c>
      <c r="AE106" s="19">
        <v>0</v>
      </c>
      <c r="AF106" s="13">
        <f t="shared" si="31"/>
        <v>2</v>
      </c>
      <c r="AG106" s="20">
        <f t="shared" si="23"/>
        <v>46031</v>
      </c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>
        <v>45</v>
      </c>
      <c r="BL106" s="13"/>
      <c r="BM106" s="13">
        <f t="shared" si="24"/>
        <v>53.1</v>
      </c>
      <c r="BN106" s="22">
        <f t="shared" si="25"/>
        <v>0</v>
      </c>
      <c r="BO106" s="23" t="str">
        <f t="shared" si="26"/>
        <v>ok</v>
      </c>
      <c r="BP106" s="22">
        <f t="shared" si="27"/>
        <v>67.5</v>
      </c>
      <c r="BQ106" s="22" t="str">
        <f t="shared" si="28"/>
        <v>ok</v>
      </c>
      <c r="BR106" s="56" t="s">
        <v>28</v>
      </c>
    </row>
    <row r="107" spans="1:70" s="12" customFormat="1" ht="24.95" customHeight="1" x14ac:dyDescent="0.25">
      <c r="A107" s="4" t="s">
        <v>231</v>
      </c>
      <c r="B107" s="15" t="s">
        <v>232</v>
      </c>
      <c r="C107" s="5">
        <v>70007</v>
      </c>
      <c r="D107" s="5" t="s">
        <v>730</v>
      </c>
      <c r="E107" s="16" t="s">
        <v>833</v>
      </c>
      <c r="F107" s="16">
        <v>1</v>
      </c>
      <c r="G107" s="16">
        <v>0</v>
      </c>
      <c r="H107" s="16" t="s">
        <v>27</v>
      </c>
      <c r="I107" s="16" t="s">
        <v>14</v>
      </c>
      <c r="J107" s="17"/>
      <c r="K107" s="17"/>
      <c r="L107" s="17"/>
      <c r="M107" s="17"/>
      <c r="N107" s="17"/>
      <c r="O107" s="13"/>
      <c r="P107" s="13"/>
      <c r="Q107" s="13">
        <v>13</v>
      </c>
      <c r="R107" s="6">
        <v>9</v>
      </c>
      <c r="S107" s="7">
        <v>0.08</v>
      </c>
      <c r="T107" s="62">
        <v>45</v>
      </c>
      <c r="U107" s="16">
        <v>324</v>
      </c>
      <c r="V107" s="16"/>
      <c r="W107" s="16">
        <v>103.5</v>
      </c>
      <c r="X107" s="18">
        <v>103.5</v>
      </c>
      <c r="Y107" s="16">
        <f t="shared" si="29"/>
        <v>-9</v>
      </c>
      <c r="Z107" s="16">
        <f t="shared" si="30"/>
        <v>315</v>
      </c>
      <c r="AA107" s="4">
        <v>0</v>
      </c>
      <c r="AB107" s="4">
        <v>45</v>
      </c>
      <c r="AC107" s="4">
        <v>0</v>
      </c>
      <c r="AD107" s="4">
        <v>0</v>
      </c>
      <c r="AE107" s="19">
        <v>45</v>
      </c>
      <c r="AF107" s="13">
        <f t="shared" si="31"/>
        <v>2</v>
      </c>
      <c r="AG107" s="20">
        <f t="shared" si="23"/>
        <v>46031</v>
      </c>
      <c r="AH107" s="24"/>
      <c r="AI107" s="24">
        <v>45</v>
      </c>
      <c r="AJ107" s="24">
        <v>45</v>
      </c>
      <c r="AK107" s="24"/>
      <c r="AL107" s="24">
        <v>45</v>
      </c>
      <c r="AM107" s="24">
        <v>45</v>
      </c>
      <c r="AN107" s="24"/>
      <c r="AO107" s="24">
        <v>45</v>
      </c>
      <c r="AP107" s="24"/>
      <c r="AQ107" s="24"/>
      <c r="AR107" s="24"/>
      <c r="AS107" s="24">
        <v>45</v>
      </c>
      <c r="AT107" s="24"/>
      <c r="AU107" s="24"/>
      <c r="AV107" s="24"/>
      <c r="AW107" s="24"/>
      <c r="AX107" s="24"/>
      <c r="AY107" s="13"/>
      <c r="AZ107" s="13"/>
      <c r="BA107" s="13"/>
      <c r="BB107" s="13">
        <v>45</v>
      </c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>
        <f t="shared" si="24"/>
        <v>9</v>
      </c>
      <c r="BN107" s="22">
        <f t="shared" si="25"/>
        <v>45</v>
      </c>
      <c r="BO107" s="23" t="str">
        <f t="shared" si="26"/>
        <v>ok</v>
      </c>
      <c r="BP107" s="22">
        <f t="shared" si="27"/>
        <v>103.5</v>
      </c>
      <c r="BQ107" s="22" t="str">
        <f t="shared" si="28"/>
        <v>ok</v>
      </c>
      <c r="BR107" s="56" t="s">
        <v>28</v>
      </c>
    </row>
    <row r="108" spans="1:70" s="12" customFormat="1" ht="24.95" customHeight="1" x14ac:dyDescent="0.25">
      <c r="A108" s="4" t="s">
        <v>233</v>
      </c>
      <c r="B108" s="15" t="s">
        <v>234</v>
      </c>
      <c r="C108" s="5">
        <v>70007</v>
      </c>
      <c r="D108" s="5" t="s">
        <v>730</v>
      </c>
      <c r="E108" s="16" t="s">
        <v>834</v>
      </c>
      <c r="F108" s="16">
        <v>2</v>
      </c>
      <c r="G108" s="16">
        <v>0</v>
      </c>
      <c r="H108" s="16" t="s">
        <v>27</v>
      </c>
      <c r="I108" s="16" t="s">
        <v>14</v>
      </c>
      <c r="J108" s="17"/>
      <c r="K108" s="17"/>
      <c r="L108" s="17"/>
      <c r="M108" s="17"/>
      <c r="N108" s="17"/>
      <c r="O108" s="13"/>
      <c r="P108" s="13"/>
      <c r="Q108" s="13">
        <v>19</v>
      </c>
      <c r="R108" s="6">
        <v>8</v>
      </c>
      <c r="S108" s="7">
        <v>0.08</v>
      </c>
      <c r="T108" s="62">
        <v>45</v>
      </c>
      <c r="U108" s="16">
        <v>390.6</v>
      </c>
      <c r="V108" s="16"/>
      <c r="W108" s="16">
        <v>673.5</v>
      </c>
      <c r="X108" s="18">
        <v>673.5</v>
      </c>
      <c r="Y108" s="16">
        <f t="shared" si="29"/>
        <v>0</v>
      </c>
      <c r="Z108" s="16">
        <f t="shared" si="30"/>
        <v>390.6</v>
      </c>
      <c r="AA108" s="4">
        <v>45</v>
      </c>
      <c r="AB108" s="4">
        <v>90</v>
      </c>
      <c r="AC108" s="4">
        <v>0</v>
      </c>
      <c r="AD108" s="4">
        <v>90</v>
      </c>
      <c r="AE108" s="19">
        <v>225</v>
      </c>
      <c r="AF108" s="13">
        <f t="shared" si="31"/>
        <v>2</v>
      </c>
      <c r="AG108" s="20">
        <f t="shared" si="23"/>
        <v>46033</v>
      </c>
      <c r="AH108" s="24"/>
      <c r="AI108" s="24"/>
      <c r="AJ108" s="24"/>
      <c r="AK108" s="24">
        <v>45</v>
      </c>
      <c r="AL108" s="24"/>
      <c r="AM108" s="24"/>
      <c r="AN108" s="24">
        <v>45</v>
      </c>
      <c r="AO108" s="24"/>
      <c r="AP108" s="24"/>
      <c r="AQ108" s="24"/>
      <c r="AR108" s="24">
        <v>45</v>
      </c>
      <c r="AS108" s="24"/>
      <c r="AT108" s="24"/>
      <c r="AU108" s="24"/>
      <c r="AV108" s="24"/>
      <c r="AW108" s="24">
        <v>45</v>
      </c>
      <c r="AX108" s="24"/>
      <c r="AY108" s="13"/>
      <c r="AZ108" s="13"/>
      <c r="BA108" s="13"/>
      <c r="BB108" s="13"/>
      <c r="BC108" s="13"/>
      <c r="BD108" s="13">
        <v>45</v>
      </c>
      <c r="BE108" s="13"/>
      <c r="BF108" s="13">
        <v>30.6</v>
      </c>
      <c r="BG108" s="13">
        <v>45</v>
      </c>
      <c r="BH108" s="13"/>
      <c r="BI108" s="13">
        <v>45</v>
      </c>
      <c r="BJ108" s="13">
        <v>45</v>
      </c>
      <c r="BK108" s="13"/>
      <c r="BL108" s="13"/>
      <c r="BM108" s="13">
        <f t="shared" si="24"/>
        <v>0</v>
      </c>
      <c r="BN108" s="22">
        <f t="shared" si="25"/>
        <v>45</v>
      </c>
      <c r="BO108" s="23" t="str">
        <f t="shared" si="26"/>
        <v>ok</v>
      </c>
      <c r="BP108" s="22">
        <f t="shared" si="27"/>
        <v>673.5</v>
      </c>
      <c r="BQ108" s="22" t="str">
        <f t="shared" si="28"/>
        <v>ok</v>
      </c>
      <c r="BR108" s="56"/>
    </row>
    <row r="109" spans="1:70" s="12" customFormat="1" ht="24.95" customHeight="1" x14ac:dyDescent="0.25">
      <c r="A109" s="4" t="s">
        <v>235</v>
      </c>
      <c r="B109" s="15" t="s">
        <v>236</v>
      </c>
      <c r="C109" s="5">
        <v>70007</v>
      </c>
      <c r="D109" s="5" t="s">
        <v>730</v>
      </c>
      <c r="E109" s="16" t="s">
        <v>835</v>
      </c>
      <c r="F109" s="16">
        <v>2</v>
      </c>
      <c r="G109" s="16">
        <v>0</v>
      </c>
      <c r="H109" s="16" t="s">
        <v>27</v>
      </c>
      <c r="I109" s="16" t="s">
        <v>14</v>
      </c>
      <c r="J109" s="17"/>
      <c r="K109" s="17"/>
      <c r="L109" s="17"/>
      <c r="M109" s="17"/>
      <c r="N109" s="17"/>
      <c r="O109" s="13"/>
      <c r="P109" s="13"/>
      <c r="Q109" s="13">
        <v>36</v>
      </c>
      <c r="R109" s="6">
        <v>10</v>
      </c>
      <c r="S109" s="7">
        <v>0.08</v>
      </c>
      <c r="T109" s="62">
        <v>45</v>
      </c>
      <c r="U109" s="16">
        <v>634.5</v>
      </c>
      <c r="V109" s="16"/>
      <c r="W109" s="16">
        <v>517.5</v>
      </c>
      <c r="X109" s="18">
        <v>517.5</v>
      </c>
      <c r="Y109" s="16">
        <f t="shared" si="29"/>
        <v>-4.5</v>
      </c>
      <c r="Z109" s="16">
        <f t="shared" si="30"/>
        <v>630</v>
      </c>
      <c r="AA109" s="4">
        <v>45</v>
      </c>
      <c r="AB109" s="4">
        <v>45</v>
      </c>
      <c r="AC109" s="4">
        <v>45</v>
      </c>
      <c r="AD109" s="4">
        <v>90</v>
      </c>
      <c r="AE109" s="19">
        <v>225</v>
      </c>
      <c r="AF109" s="13">
        <f t="shared" si="31"/>
        <v>2</v>
      </c>
      <c r="AG109" s="20">
        <f t="shared" si="23"/>
        <v>46033</v>
      </c>
      <c r="AH109" s="24"/>
      <c r="AI109" s="24">
        <v>45</v>
      </c>
      <c r="AJ109" s="24">
        <v>45</v>
      </c>
      <c r="AK109" s="24"/>
      <c r="AL109" s="24"/>
      <c r="AM109" s="24">
        <v>45</v>
      </c>
      <c r="AN109" s="24">
        <v>45</v>
      </c>
      <c r="AO109" s="24">
        <v>45</v>
      </c>
      <c r="AP109" s="24"/>
      <c r="AQ109" s="24"/>
      <c r="AR109" s="24">
        <v>45</v>
      </c>
      <c r="AS109" s="24"/>
      <c r="AT109" s="24"/>
      <c r="AU109" s="24">
        <v>45</v>
      </c>
      <c r="AV109" s="24">
        <v>45</v>
      </c>
      <c r="AW109" s="24"/>
      <c r="AX109" s="24"/>
      <c r="AY109" s="13"/>
      <c r="AZ109" s="13"/>
      <c r="BA109" s="13"/>
      <c r="BB109" s="13"/>
      <c r="BC109" s="13"/>
      <c r="BD109" s="13"/>
      <c r="BE109" s="13"/>
      <c r="BF109" s="13">
        <v>45</v>
      </c>
      <c r="BG109" s="13">
        <v>45</v>
      </c>
      <c r="BH109" s="13">
        <v>45</v>
      </c>
      <c r="BI109" s="13">
        <v>45</v>
      </c>
      <c r="BJ109" s="13">
        <v>45</v>
      </c>
      <c r="BK109" s="13"/>
      <c r="BL109" s="13">
        <v>45</v>
      </c>
      <c r="BM109" s="13">
        <f t="shared" si="24"/>
        <v>49.5</v>
      </c>
      <c r="BN109" s="22">
        <f t="shared" si="25"/>
        <v>45</v>
      </c>
      <c r="BO109" s="23" t="str">
        <f t="shared" si="26"/>
        <v>ok</v>
      </c>
      <c r="BP109" s="22">
        <f t="shared" si="27"/>
        <v>517.5</v>
      </c>
      <c r="BQ109" s="22" t="str">
        <f t="shared" si="28"/>
        <v>ok</v>
      </c>
      <c r="BR109" s="56" t="s">
        <v>28</v>
      </c>
    </row>
    <row r="110" spans="1:70" s="12" customFormat="1" ht="24.95" customHeight="1" x14ac:dyDescent="0.25">
      <c r="A110" s="4" t="s">
        <v>237</v>
      </c>
      <c r="B110" s="15" t="s">
        <v>238</v>
      </c>
      <c r="C110" s="5">
        <v>70007</v>
      </c>
      <c r="D110" s="5" t="s">
        <v>730</v>
      </c>
      <c r="E110" s="16" t="s">
        <v>836</v>
      </c>
      <c r="F110" s="16">
        <v>2</v>
      </c>
      <c r="G110" s="16">
        <v>0</v>
      </c>
      <c r="H110" s="16" t="s">
        <v>27</v>
      </c>
      <c r="I110" s="16" t="s">
        <v>14</v>
      </c>
      <c r="J110" s="17"/>
      <c r="K110" s="17"/>
      <c r="L110" s="17"/>
      <c r="M110" s="17"/>
      <c r="N110" s="17"/>
      <c r="O110" s="13"/>
      <c r="P110" s="13"/>
      <c r="Q110" s="13">
        <v>11</v>
      </c>
      <c r="R110" s="6">
        <v>9</v>
      </c>
      <c r="S110" s="7">
        <v>0.08</v>
      </c>
      <c r="T110" s="62">
        <v>45</v>
      </c>
      <c r="U110" s="16">
        <v>283.5</v>
      </c>
      <c r="V110" s="16"/>
      <c r="W110" s="16">
        <v>163.5</v>
      </c>
      <c r="X110" s="18">
        <v>163.5</v>
      </c>
      <c r="Y110" s="16">
        <f t="shared" si="29"/>
        <v>0</v>
      </c>
      <c r="Z110" s="16">
        <f t="shared" si="30"/>
        <v>283.5</v>
      </c>
      <c r="AA110" s="4">
        <v>0</v>
      </c>
      <c r="AB110" s="4">
        <v>17</v>
      </c>
      <c r="AC110" s="4">
        <v>45</v>
      </c>
      <c r="AD110" s="4">
        <v>28</v>
      </c>
      <c r="AE110" s="19">
        <v>90</v>
      </c>
      <c r="AF110" s="13">
        <f t="shared" si="31"/>
        <v>2</v>
      </c>
      <c r="AG110" s="20">
        <f t="shared" si="23"/>
        <v>46033</v>
      </c>
      <c r="AH110" s="13">
        <v>45</v>
      </c>
      <c r="AI110" s="13"/>
      <c r="AJ110" s="13"/>
      <c r="AK110" s="13"/>
      <c r="AL110" s="13"/>
      <c r="AM110" s="13"/>
      <c r="AN110" s="13"/>
      <c r="AO110" s="13"/>
      <c r="AP110" s="13">
        <v>45</v>
      </c>
      <c r="AQ110" s="13"/>
      <c r="AR110" s="13"/>
      <c r="AS110" s="13"/>
      <c r="AT110" s="13"/>
      <c r="AU110" s="13"/>
      <c r="AV110" s="21"/>
      <c r="AW110" s="13"/>
      <c r="AX110" s="13">
        <v>13.5</v>
      </c>
      <c r="AY110" s="13"/>
      <c r="AZ110" s="13">
        <v>45</v>
      </c>
      <c r="BA110" s="13">
        <v>45</v>
      </c>
      <c r="BB110" s="13"/>
      <c r="BC110" s="13"/>
      <c r="BD110" s="13"/>
      <c r="BE110" s="13">
        <v>45</v>
      </c>
      <c r="BF110" s="13"/>
      <c r="BG110" s="13"/>
      <c r="BH110" s="13"/>
      <c r="BI110" s="13"/>
      <c r="BJ110" s="13"/>
      <c r="BK110" s="13"/>
      <c r="BL110" s="13">
        <v>45</v>
      </c>
      <c r="BM110" s="13">
        <f t="shared" si="24"/>
        <v>45</v>
      </c>
      <c r="BN110" s="22">
        <f t="shared" si="25"/>
        <v>45</v>
      </c>
      <c r="BO110" s="23" t="str">
        <f t="shared" si="26"/>
        <v>ok</v>
      </c>
      <c r="BP110" s="22">
        <f t="shared" si="27"/>
        <v>163.5</v>
      </c>
      <c r="BQ110" s="22" t="str">
        <f t="shared" si="28"/>
        <v>ok</v>
      </c>
      <c r="BR110" s="56"/>
    </row>
    <row r="111" spans="1:70" s="12" customFormat="1" ht="24.95" customHeight="1" x14ac:dyDescent="0.25">
      <c r="A111" s="4" t="s">
        <v>239</v>
      </c>
      <c r="B111" s="15" t="s">
        <v>240</v>
      </c>
      <c r="C111" s="5">
        <v>70007</v>
      </c>
      <c r="D111" s="5" t="s">
        <v>730</v>
      </c>
      <c r="E111" s="16" t="s">
        <v>837</v>
      </c>
      <c r="F111" s="16">
        <v>2</v>
      </c>
      <c r="G111" s="16">
        <v>0</v>
      </c>
      <c r="H111" s="16" t="s">
        <v>27</v>
      </c>
      <c r="I111" s="16" t="s">
        <v>14</v>
      </c>
      <c r="J111" s="17"/>
      <c r="K111" s="17"/>
      <c r="L111" s="17"/>
      <c r="M111" s="17"/>
      <c r="N111" s="17"/>
      <c r="O111" s="13"/>
      <c r="P111" s="13"/>
      <c r="Q111" s="13">
        <v>13</v>
      </c>
      <c r="R111" s="6">
        <v>11</v>
      </c>
      <c r="S111" s="7">
        <v>0.08</v>
      </c>
      <c r="T111" s="62">
        <v>45</v>
      </c>
      <c r="U111" s="16">
        <v>414</v>
      </c>
      <c r="V111" s="16"/>
      <c r="W111" s="16">
        <v>703.5</v>
      </c>
      <c r="X111" s="18">
        <v>703.5</v>
      </c>
      <c r="Y111" s="16">
        <f t="shared" si="29"/>
        <v>-9</v>
      </c>
      <c r="Z111" s="16">
        <f t="shared" si="30"/>
        <v>405</v>
      </c>
      <c r="AA111" s="4">
        <v>90</v>
      </c>
      <c r="AB111" s="4">
        <v>45</v>
      </c>
      <c r="AC111" s="4">
        <v>90</v>
      </c>
      <c r="AD111" s="4">
        <v>90</v>
      </c>
      <c r="AE111" s="19">
        <v>315</v>
      </c>
      <c r="AF111" s="13">
        <f t="shared" si="31"/>
        <v>2</v>
      </c>
      <c r="AG111" s="20">
        <f t="shared" si="23"/>
        <v>46033</v>
      </c>
      <c r="AH111" s="24"/>
      <c r="AI111" s="24">
        <v>45</v>
      </c>
      <c r="AJ111" s="24">
        <v>45</v>
      </c>
      <c r="AK111" s="24"/>
      <c r="AL111" s="24">
        <v>45</v>
      </c>
      <c r="AM111" s="24">
        <v>45</v>
      </c>
      <c r="AN111" s="24"/>
      <c r="AO111" s="24">
        <v>45</v>
      </c>
      <c r="AP111" s="24"/>
      <c r="AQ111" s="24"/>
      <c r="AR111" s="24"/>
      <c r="AS111" s="24">
        <v>45</v>
      </c>
      <c r="AT111" s="24"/>
      <c r="AU111" s="24"/>
      <c r="AV111" s="24"/>
      <c r="AW111" s="24"/>
      <c r="AX111" s="24"/>
      <c r="AY111" s="13"/>
      <c r="AZ111" s="13"/>
      <c r="BA111" s="13"/>
      <c r="BB111" s="13">
        <v>45</v>
      </c>
      <c r="BC111" s="13">
        <v>45</v>
      </c>
      <c r="BD111" s="13"/>
      <c r="BE111" s="13"/>
      <c r="BF111" s="13">
        <v>45</v>
      </c>
      <c r="BG111" s="13"/>
      <c r="BH111" s="13"/>
      <c r="BI111" s="13"/>
      <c r="BJ111" s="13"/>
      <c r="BK111" s="13"/>
      <c r="BL111" s="13"/>
      <c r="BM111" s="13">
        <f t="shared" si="24"/>
        <v>9</v>
      </c>
      <c r="BN111" s="22">
        <f t="shared" si="25"/>
        <v>45</v>
      </c>
      <c r="BO111" s="23" t="str">
        <f t="shared" si="26"/>
        <v>ok</v>
      </c>
      <c r="BP111" s="22">
        <f t="shared" si="27"/>
        <v>703.5</v>
      </c>
      <c r="BQ111" s="22" t="str">
        <f t="shared" si="28"/>
        <v>ok</v>
      </c>
      <c r="BR111" s="56" t="s">
        <v>28</v>
      </c>
    </row>
    <row r="112" spans="1:70" s="12" customFormat="1" ht="24.95" customHeight="1" x14ac:dyDescent="0.25">
      <c r="A112" s="4" t="s">
        <v>241</v>
      </c>
      <c r="B112" s="15" t="s">
        <v>242</v>
      </c>
      <c r="C112" s="5">
        <v>70007</v>
      </c>
      <c r="D112" s="5" t="s">
        <v>730</v>
      </c>
      <c r="E112" s="16" t="s">
        <v>838</v>
      </c>
      <c r="F112" s="16">
        <v>1</v>
      </c>
      <c r="G112" s="16">
        <v>0</v>
      </c>
      <c r="H112" s="16" t="s">
        <v>26</v>
      </c>
      <c r="I112" s="16" t="s">
        <v>14</v>
      </c>
      <c r="J112" s="17"/>
      <c r="K112" s="17"/>
      <c r="L112" s="17"/>
      <c r="M112" s="17"/>
      <c r="N112" s="17"/>
      <c r="O112" s="13"/>
      <c r="P112" s="13"/>
      <c r="Q112" s="13">
        <v>24</v>
      </c>
      <c r="R112" s="6">
        <v>10</v>
      </c>
      <c r="S112" s="7">
        <v>0.08</v>
      </c>
      <c r="T112" s="62">
        <v>33</v>
      </c>
      <c r="U112" s="16">
        <v>39.6</v>
      </c>
      <c r="V112" s="16"/>
      <c r="W112" s="16">
        <v>102</v>
      </c>
      <c r="X112" s="18">
        <v>102</v>
      </c>
      <c r="Y112" s="16">
        <f t="shared" si="29"/>
        <v>-6.6000000000000014</v>
      </c>
      <c r="Z112" s="16">
        <f t="shared" si="30"/>
        <v>33</v>
      </c>
      <c r="AA112" s="4">
        <v>26</v>
      </c>
      <c r="AB112" s="4">
        <v>0</v>
      </c>
      <c r="AC112" s="4">
        <v>0</v>
      </c>
      <c r="AD112" s="4">
        <v>0</v>
      </c>
      <c r="AE112" s="19">
        <v>26</v>
      </c>
      <c r="AF112" s="13">
        <f t="shared" si="31"/>
        <v>2</v>
      </c>
      <c r="AG112" s="20">
        <f t="shared" si="23"/>
        <v>46031</v>
      </c>
      <c r="AH112" s="13"/>
      <c r="AI112" s="13"/>
      <c r="AJ112" s="13"/>
      <c r="AK112" s="13"/>
      <c r="AL112" s="13"/>
      <c r="AM112" s="13"/>
      <c r="AN112" s="13"/>
      <c r="AO112" s="13"/>
      <c r="AP112" s="13"/>
      <c r="AQ112" s="13">
        <v>33</v>
      </c>
      <c r="AR112" s="13"/>
      <c r="AS112" s="13"/>
      <c r="AT112" s="13"/>
      <c r="AU112" s="13"/>
      <c r="AV112" s="21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>
        <f t="shared" si="24"/>
        <v>6.6000000000000014</v>
      </c>
      <c r="BN112" s="22">
        <f t="shared" si="25"/>
        <v>33</v>
      </c>
      <c r="BO112" s="23" t="str">
        <f t="shared" si="26"/>
        <v>ok</v>
      </c>
      <c r="BP112" s="22">
        <f t="shared" si="27"/>
        <v>102</v>
      </c>
      <c r="BQ112" s="22" t="str">
        <f t="shared" si="28"/>
        <v>ok</v>
      </c>
      <c r="BR112" s="56" t="s">
        <v>28</v>
      </c>
    </row>
    <row r="113" spans="1:70" s="12" customFormat="1" ht="24.95" customHeight="1" x14ac:dyDescent="0.25">
      <c r="A113" s="4" t="s">
        <v>243</v>
      </c>
      <c r="B113" s="15" t="s">
        <v>244</v>
      </c>
      <c r="C113" s="5">
        <v>70007</v>
      </c>
      <c r="D113" s="5" t="s">
        <v>730</v>
      </c>
      <c r="E113" s="16" t="s">
        <v>839</v>
      </c>
      <c r="F113" s="16">
        <v>1</v>
      </c>
      <c r="G113" s="16">
        <v>1</v>
      </c>
      <c r="H113" s="16" t="s">
        <v>27</v>
      </c>
      <c r="I113" s="16" t="s">
        <v>14</v>
      </c>
      <c r="J113" s="17"/>
      <c r="K113" s="17"/>
      <c r="L113" s="17"/>
      <c r="M113" s="17"/>
      <c r="N113" s="17"/>
      <c r="O113" s="13"/>
      <c r="P113" s="13"/>
      <c r="Q113" s="13">
        <v>11</v>
      </c>
      <c r="R113" s="6">
        <v>18</v>
      </c>
      <c r="S113" s="7">
        <v>0.08</v>
      </c>
      <c r="T113" s="62">
        <v>45</v>
      </c>
      <c r="U113" s="16">
        <v>347.40000000000003</v>
      </c>
      <c r="V113" s="16"/>
      <c r="W113" s="16">
        <v>217.5</v>
      </c>
      <c r="X113" s="18">
        <v>217.5</v>
      </c>
      <c r="Y113" s="16">
        <f t="shared" si="29"/>
        <v>0</v>
      </c>
      <c r="Z113" s="16">
        <f t="shared" si="30"/>
        <v>347.4</v>
      </c>
      <c r="AA113" s="4">
        <v>0</v>
      </c>
      <c r="AB113" s="4">
        <v>0</v>
      </c>
      <c r="AC113" s="4">
        <v>0</v>
      </c>
      <c r="AD113" s="4">
        <v>0</v>
      </c>
      <c r="AE113" s="19">
        <v>0</v>
      </c>
      <c r="AF113" s="13">
        <f t="shared" si="31"/>
        <v>2</v>
      </c>
      <c r="AG113" s="20">
        <f t="shared" si="23"/>
        <v>46031</v>
      </c>
      <c r="AH113" s="24">
        <v>45</v>
      </c>
      <c r="AI113" s="24"/>
      <c r="AJ113" s="24"/>
      <c r="AK113" s="24"/>
      <c r="AL113" s="24"/>
      <c r="AM113" s="24"/>
      <c r="AN113" s="24"/>
      <c r="AO113" s="24"/>
      <c r="AP113" s="24">
        <v>45</v>
      </c>
      <c r="AQ113" s="24"/>
      <c r="AR113" s="24"/>
      <c r="AS113" s="24"/>
      <c r="AT113" s="24"/>
      <c r="AU113" s="24"/>
      <c r="AV113" s="24">
        <v>45</v>
      </c>
      <c r="AW113" s="24"/>
      <c r="AX113" s="24"/>
      <c r="AY113" s="13"/>
      <c r="AZ113" s="13">
        <v>45</v>
      </c>
      <c r="BA113" s="13">
        <v>45</v>
      </c>
      <c r="BB113" s="13"/>
      <c r="BC113" s="13"/>
      <c r="BD113" s="13"/>
      <c r="BE113" s="13">
        <v>45</v>
      </c>
      <c r="BF113" s="13"/>
      <c r="BG113" s="13"/>
      <c r="BH113" s="13">
        <v>32.4</v>
      </c>
      <c r="BI113" s="13"/>
      <c r="BJ113" s="13"/>
      <c r="BK113" s="13"/>
      <c r="BL113" s="13">
        <v>45</v>
      </c>
      <c r="BM113" s="13">
        <f t="shared" si="24"/>
        <v>45.000000000000057</v>
      </c>
      <c r="BN113" s="22">
        <f t="shared" si="25"/>
        <v>45</v>
      </c>
      <c r="BO113" s="23" t="str">
        <f t="shared" si="26"/>
        <v>ok</v>
      </c>
      <c r="BP113" s="22">
        <f t="shared" si="27"/>
        <v>217.5</v>
      </c>
      <c r="BQ113" s="22" t="str">
        <f t="shared" si="28"/>
        <v>ok</v>
      </c>
      <c r="BR113" s="56"/>
    </row>
    <row r="114" spans="1:70" s="12" customFormat="1" ht="24.95" customHeight="1" x14ac:dyDescent="0.25">
      <c r="A114" s="4" t="s">
        <v>245</v>
      </c>
      <c r="B114" s="15" t="s">
        <v>246</v>
      </c>
      <c r="C114" s="5">
        <v>70007</v>
      </c>
      <c r="D114" s="5" t="s">
        <v>730</v>
      </c>
      <c r="E114" s="16" t="s">
        <v>840</v>
      </c>
      <c r="F114" s="16">
        <v>1</v>
      </c>
      <c r="G114" s="16">
        <v>0</v>
      </c>
      <c r="H114" s="16" t="s">
        <v>26</v>
      </c>
      <c r="I114" s="16" t="s">
        <v>14</v>
      </c>
      <c r="J114" s="17"/>
      <c r="K114" s="17"/>
      <c r="L114" s="17"/>
      <c r="M114" s="17"/>
      <c r="N114" s="17"/>
      <c r="O114" s="13"/>
      <c r="P114" s="13"/>
      <c r="Q114" s="13">
        <v>19</v>
      </c>
      <c r="R114" s="6">
        <v>9</v>
      </c>
      <c r="S114" s="7">
        <v>0.08</v>
      </c>
      <c r="T114" s="62">
        <v>33</v>
      </c>
      <c r="U114" s="16">
        <v>14.4</v>
      </c>
      <c r="V114" s="16"/>
      <c r="W114" s="16">
        <v>28.5</v>
      </c>
      <c r="X114" s="18">
        <v>28.5</v>
      </c>
      <c r="Y114" s="16">
        <f t="shared" si="29"/>
        <v>0</v>
      </c>
      <c r="Z114" s="16">
        <f t="shared" si="30"/>
        <v>14.4</v>
      </c>
      <c r="AA114" s="4">
        <v>0</v>
      </c>
      <c r="AB114" s="4">
        <v>0</v>
      </c>
      <c r="AC114" s="4">
        <v>0</v>
      </c>
      <c r="AD114" s="4">
        <v>0</v>
      </c>
      <c r="AE114" s="19">
        <v>0</v>
      </c>
      <c r="AF114" s="13">
        <f t="shared" si="31"/>
        <v>2</v>
      </c>
      <c r="AG114" s="20">
        <f t="shared" si="23"/>
        <v>46031</v>
      </c>
      <c r="AH114" s="24">
        <v>14.4</v>
      </c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13"/>
      <c r="AZ114" s="13"/>
      <c r="BA114" s="13"/>
      <c r="BB114" s="13"/>
      <c r="BC114" s="13"/>
      <c r="BD114" s="13"/>
      <c r="BE114" s="13"/>
      <c r="BF114" s="16"/>
      <c r="BG114" s="16"/>
      <c r="BH114" s="16"/>
      <c r="BI114" s="13"/>
      <c r="BJ114" s="13"/>
      <c r="BK114" s="13"/>
      <c r="BL114" s="13"/>
      <c r="BM114" s="13">
        <f t="shared" si="24"/>
        <v>0</v>
      </c>
      <c r="BN114" s="22">
        <f t="shared" si="25"/>
        <v>14.4</v>
      </c>
      <c r="BO114" s="23" t="str">
        <f t="shared" si="26"/>
        <v>ok</v>
      </c>
      <c r="BP114" s="22">
        <f t="shared" si="27"/>
        <v>28.5</v>
      </c>
      <c r="BQ114" s="22" t="str">
        <f t="shared" si="28"/>
        <v>ok</v>
      </c>
      <c r="BR114" s="56"/>
    </row>
    <row r="115" spans="1:70" s="12" customFormat="1" ht="24.95" customHeight="1" x14ac:dyDescent="0.25">
      <c r="A115" s="4" t="s">
        <v>247</v>
      </c>
      <c r="B115" s="15" t="s">
        <v>248</v>
      </c>
      <c r="C115" s="5">
        <v>70007</v>
      </c>
      <c r="D115" s="5" t="s">
        <v>730</v>
      </c>
      <c r="E115" s="16" t="s">
        <v>841</v>
      </c>
      <c r="F115" s="16">
        <v>2</v>
      </c>
      <c r="G115" s="16">
        <v>1</v>
      </c>
      <c r="H115" s="16" t="s">
        <v>27</v>
      </c>
      <c r="I115" s="16" t="s">
        <v>14</v>
      </c>
      <c r="J115" s="17"/>
      <c r="K115" s="17"/>
      <c r="L115" s="17"/>
      <c r="M115" s="17"/>
      <c r="N115" s="17"/>
      <c r="O115" s="13"/>
      <c r="P115" s="13"/>
      <c r="Q115" s="13">
        <v>32</v>
      </c>
      <c r="R115" s="6">
        <v>10</v>
      </c>
      <c r="S115" s="7">
        <v>0.08</v>
      </c>
      <c r="T115" s="62">
        <v>45</v>
      </c>
      <c r="U115" s="16">
        <v>648</v>
      </c>
      <c r="V115" s="16"/>
      <c r="W115" s="16">
        <v>762</v>
      </c>
      <c r="X115" s="18">
        <v>762</v>
      </c>
      <c r="Y115" s="16">
        <f t="shared" si="29"/>
        <v>0</v>
      </c>
      <c r="Z115" s="16">
        <f t="shared" si="30"/>
        <v>648</v>
      </c>
      <c r="AA115" s="4">
        <v>45</v>
      </c>
      <c r="AB115" s="4">
        <v>45</v>
      </c>
      <c r="AC115" s="4">
        <v>0</v>
      </c>
      <c r="AD115" s="4">
        <v>45</v>
      </c>
      <c r="AE115" s="19">
        <v>135</v>
      </c>
      <c r="AF115" s="13">
        <f t="shared" si="31"/>
        <v>2</v>
      </c>
      <c r="AG115" s="20">
        <f t="shared" si="23"/>
        <v>46033</v>
      </c>
      <c r="AH115" s="13"/>
      <c r="AI115" s="13">
        <v>45</v>
      </c>
      <c r="AJ115" s="13">
        <v>45</v>
      </c>
      <c r="AK115" s="13"/>
      <c r="AL115" s="13"/>
      <c r="AM115" s="13">
        <v>45</v>
      </c>
      <c r="AN115" s="13">
        <v>45</v>
      </c>
      <c r="AO115" s="13">
        <v>45</v>
      </c>
      <c r="AP115" s="13"/>
      <c r="AQ115" s="13"/>
      <c r="AR115" s="13">
        <v>45</v>
      </c>
      <c r="AS115" s="13"/>
      <c r="AT115" s="13"/>
      <c r="AU115" s="13">
        <v>45</v>
      </c>
      <c r="AV115" s="13">
        <v>45</v>
      </c>
      <c r="AW115" s="13"/>
      <c r="AX115" s="13"/>
      <c r="AY115" s="13"/>
      <c r="AZ115" s="13">
        <v>45</v>
      </c>
      <c r="BA115" s="13"/>
      <c r="BB115" s="13">
        <v>45</v>
      </c>
      <c r="BC115" s="13"/>
      <c r="BD115" s="13"/>
      <c r="BE115" s="13">
        <v>45</v>
      </c>
      <c r="BF115" s="13">
        <v>45</v>
      </c>
      <c r="BG115" s="13">
        <v>18</v>
      </c>
      <c r="BH115" s="13">
        <v>45</v>
      </c>
      <c r="BI115" s="13"/>
      <c r="BJ115" s="13"/>
      <c r="BK115" s="13"/>
      <c r="BL115" s="13">
        <v>45</v>
      </c>
      <c r="BM115" s="13">
        <f t="shared" si="24"/>
        <v>45</v>
      </c>
      <c r="BN115" s="22">
        <f t="shared" si="25"/>
        <v>45</v>
      </c>
      <c r="BO115" s="23" t="str">
        <f t="shared" si="26"/>
        <v>ok</v>
      </c>
      <c r="BP115" s="22">
        <f t="shared" si="27"/>
        <v>762</v>
      </c>
      <c r="BQ115" s="22" t="str">
        <f t="shared" si="28"/>
        <v>ok</v>
      </c>
      <c r="BR115" s="56"/>
    </row>
    <row r="116" spans="1:70" s="12" customFormat="1" ht="24.95" customHeight="1" x14ac:dyDescent="0.25">
      <c r="A116" s="4" t="s">
        <v>249</v>
      </c>
      <c r="B116" s="15" t="s">
        <v>250</v>
      </c>
      <c r="C116" s="5">
        <v>70007</v>
      </c>
      <c r="D116" s="5" t="s">
        <v>730</v>
      </c>
      <c r="E116" s="16" t="s">
        <v>842</v>
      </c>
      <c r="F116" s="16">
        <v>2</v>
      </c>
      <c r="G116" s="16">
        <v>0</v>
      </c>
      <c r="H116" s="16" t="s">
        <v>27</v>
      </c>
      <c r="I116" s="16" t="s">
        <v>14</v>
      </c>
      <c r="J116" s="17"/>
      <c r="K116" s="17"/>
      <c r="L116" s="17"/>
      <c r="M116" s="17"/>
      <c r="N116" s="17"/>
      <c r="O116" s="13"/>
      <c r="P116" s="13"/>
      <c r="Q116" s="13">
        <v>13</v>
      </c>
      <c r="R116" s="6">
        <v>25</v>
      </c>
      <c r="S116" s="7">
        <v>0.08</v>
      </c>
      <c r="T116" s="62">
        <v>45</v>
      </c>
      <c r="U116" s="16">
        <v>187.20000000000002</v>
      </c>
      <c r="V116" s="16"/>
      <c r="W116" s="16">
        <v>327</v>
      </c>
      <c r="X116" s="18">
        <v>327</v>
      </c>
      <c r="Y116" s="16">
        <f t="shared" si="29"/>
        <v>-7.2000000000000171</v>
      </c>
      <c r="Z116" s="16">
        <f t="shared" si="30"/>
        <v>180</v>
      </c>
      <c r="AA116" s="4">
        <v>0</v>
      </c>
      <c r="AB116" s="4">
        <v>90</v>
      </c>
      <c r="AC116" s="4">
        <v>45</v>
      </c>
      <c r="AD116" s="4">
        <v>83</v>
      </c>
      <c r="AE116" s="19">
        <v>218</v>
      </c>
      <c r="AF116" s="13">
        <f t="shared" si="31"/>
        <v>2</v>
      </c>
      <c r="AG116" s="20">
        <f t="shared" si="23"/>
        <v>46033</v>
      </c>
      <c r="AH116" s="13"/>
      <c r="AI116" s="13"/>
      <c r="AJ116" s="13"/>
      <c r="AK116" s="13"/>
      <c r="AL116" s="13"/>
      <c r="AM116" s="13"/>
      <c r="AN116" s="13"/>
      <c r="AO116" s="13"/>
      <c r="AP116" s="13">
        <v>45</v>
      </c>
      <c r="AQ116" s="13"/>
      <c r="AR116" s="13"/>
      <c r="AS116" s="13"/>
      <c r="AT116" s="13"/>
      <c r="AU116" s="13"/>
      <c r="AV116" s="21"/>
      <c r="AW116" s="13"/>
      <c r="AX116" s="13"/>
      <c r="AY116" s="13"/>
      <c r="AZ116" s="13"/>
      <c r="BA116" s="13">
        <v>45</v>
      </c>
      <c r="BB116" s="13"/>
      <c r="BC116" s="13"/>
      <c r="BD116" s="13"/>
      <c r="BE116" s="13"/>
      <c r="BF116" s="13">
        <v>45</v>
      </c>
      <c r="BG116" s="13"/>
      <c r="BH116" s="13"/>
      <c r="BI116" s="13"/>
      <c r="BJ116" s="13"/>
      <c r="BK116" s="13"/>
      <c r="BL116" s="13">
        <v>45</v>
      </c>
      <c r="BM116" s="13">
        <f t="shared" si="24"/>
        <v>52.200000000000017</v>
      </c>
      <c r="BN116" s="22">
        <f t="shared" si="25"/>
        <v>45</v>
      </c>
      <c r="BO116" s="23" t="str">
        <f t="shared" si="26"/>
        <v>ok</v>
      </c>
      <c r="BP116" s="22">
        <f t="shared" si="27"/>
        <v>327</v>
      </c>
      <c r="BQ116" s="22" t="str">
        <f t="shared" si="28"/>
        <v>ok</v>
      </c>
      <c r="BR116" s="56" t="s">
        <v>28</v>
      </c>
    </row>
    <row r="117" spans="1:70" s="12" customFormat="1" ht="24.95" customHeight="1" x14ac:dyDescent="0.25">
      <c r="A117" s="4" t="s">
        <v>251</v>
      </c>
      <c r="B117" s="15" t="s">
        <v>252</v>
      </c>
      <c r="C117" s="5">
        <v>70007</v>
      </c>
      <c r="D117" s="5" t="s">
        <v>730</v>
      </c>
      <c r="E117" s="16" t="s">
        <v>843</v>
      </c>
      <c r="F117" s="16">
        <v>2</v>
      </c>
      <c r="G117" s="16">
        <v>0</v>
      </c>
      <c r="H117" s="16" t="s">
        <v>27</v>
      </c>
      <c r="I117" s="16" t="s">
        <v>14</v>
      </c>
      <c r="J117" s="17"/>
      <c r="K117" s="17"/>
      <c r="L117" s="17"/>
      <c r="M117" s="17"/>
      <c r="N117" s="17"/>
      <c r="O117" s="13"/>
      <c r="P117" s="13"/>
      <c r="Q117" s="13">
        <v>26</v>
      </c>
      <c r="R117" s="6">
        <v>9</v>
      </c>
      <c r="S117" s="7">
        <v>0.08</v>
      </c>
      <c r="T117" s="62">
        <v>45</v>
      </c>
      <c r="U117" s="16">
        <v>324</v>
      </c>
      <c r="V117" s="16"/>
      <c r="W117" s="16">
        <v>613.5</v>
      </c>
      <c r="X117" s="18">
        <v>613.5</v>
      </c>
      <c r="Y117" s="16">
        <f t="shared" si="29"/>
        <v>-9</v>
      </c>
      <c r="Z117" s="16">
        <f t="shared" si="30"/>
        <v>315</v>
      </c>
      <c r="AA117" s="4">
        <v>90</v>
      </c>
      <c r="AB117" s="4">
        <v>0</v>
      </c>
      <c r="AC117" s="4">
        <v>27</v>
      </c>
      <c r="AD117" s="4">
        <v>45</v>
      </c>
      <c r="AE117" s="19">
        <v>162</v>
      </c>
      <c r="AF117" s="13">
        <f t="shared" si="31"/>
        <v>2</v>
      </c>
      <c r="AG117" s="20">
        <f t="shared" si="23"/>
        <v>46033</v>
      </c>
      <c r="AH117" s="13"/>
      <c r="AI117" s="13"/>
      <c r="AJ117" s="13"/>
      <c r="AK117" s="13"/>
      <c r="AL117" s="13"/>
      <c r="AM117" s="13"/>
      <c r="AN117" s="13"/>
      <c r="AO117" s="13"/>
      <c r="AP117" s="13">
        <v>45</v>
      </c>
      <c r="AQ117" s="13"/>
      <c r="AR117" s="13">
        <v>45</v>
      </c>
      <c r="AS117" s="13"/>
      <c r="AT117" s="13"/>
      <c r="AU117" s="13"/>
      <c r="AV117" s="21"/>
      <c r="AW117" s="13"/>
      <c r="AX117" s="13">
        <v>45</v>
      </c>
      <c r="AY117" s="13"/>
      <c r="AZ117" s="13"/>
      <c r="BA117" s="13">
        <v>45</v>
      </c>
      <c r="BB117" s="13"/>
      <c r="BC117" s="13"/>
      <c r="BD117" s="13"/>
      <c r="BE117" s="13"/>
      <c r="BF117" s="13">
        <v>45</v>
      </c>
      <c r="BG117" s="13"/>
      <c r="BH117" s="13"/>
      <c r="BI117" s="13"/>
      <c r="BJ117" s="13">
        <v>45</v>
      </c>
      <c r="BK117" s="13"/>
      <c r="BL117" s="13">
        <v>45</v>
      </c>
      <c r="BM117" s="13">
        <f t="shared" si="24"/>
        <v>54</v>
      </c>
      <c r="BN117" s="22">
        <f t="shared" si="25"/>
        <v>45</v>
      </c>
      <c r="BO117" s="23" t="str">
        <f t="shared" si="26"/>
        <v>ok</v>
      </c>
      <c r="BP117" s="22">
        <f t="shared" si="27"/>
        <v>613.5</v>
      </c>
      <c r="BQ117" s="22" t="str">
        <f t="shared" si="28"/>
        <v>ok</v>
      </c>
      <c r="BR117" s="56" t="s">
        <v>28</v>
      </c>
    </row>
    <row r="118" spans="1:70" s="12" customFormat="1" ht="24.95" customHeight="1" x14ac:dyDescent="0.25">
      <c r="A118" s="4" t="s">
        <v>253</v>
      </c>
      <c r="B118" s="15" t="s">
        <v>254</v>
      </c>
      <c r="C118" s="5">
        <v>70007</v>
      </c>
      <c r="D118" s="5" t="s">
        <v>730</v>
      </c>
      <c r="E118" s="16" t="s">
        <v>844</v>
      </c>
      <c r="F118" s="16">
        <v>2</v>
      </c>
      <c r="G118" s="16">
        <v>0</v>
      </c>
      <c r="H118" s="16" t="s">
        <v>26</v>
      </c>
      <c r="I118" s="16" t="s">
        <v>14</v>
      </c>
      <c r="J118" s="17"/>
      <c r="K118" s="17"/>
      <c r="L118" s="17"/>
      <c r="M118" s="17"/>
      <c r="N118" s="17"/>
      <c r="O118" s="13"/>
      <c r="P118" s="13"/>
      <c r="Q118" s="13">
        <v>25</v>
      </c>
      <c r="R118" s="6">
        <v>9</v>
      </c>
      <c r="S118" s="7">
        <v>0.08</v>
      </c>
      <c r="T118" s="62">
        <v>33</v>
      </c>
      <c r="U118" s="16">
        <v>365.40000000000003</v>
      </c>
      <c r="V118" s="16"/>
      <c r="W118" s="16">
        <v>198</v>
      </c>
      <c r="X118" s="18">
        <v>198</v>
      </c>
      <c r="Y118" s="16">
        <f t="shared" si="29"/>
        <v>-2.4000000000000341</v>
      </c>
      <c r="Z118" s="16">
        <f t="shared" si="30"/>
        <v>363</v>
      </c>
      <c r="AA118" s="4">
        <v>0</v>
      </c>
      <c r="AB118" s="4">
        <v>0</v>
      </c>
      <c r="AC118" s="4">
        <v>0</v>
      </c>
      <c r="AD118" s="4">
        <v>0</v>
      </c>
      <c r="AE118" s="19">
        <v>0</v>
      </c>
      <c r="AF118" s="13">
        <f t="shared" si="31"/>
        <v>2</v>
      </c>
      <c r="AG118" s="20">
        <f t="shared" si="23"/>
        <v>46031</v>
      </c>
      <c r="AH118" s="13">
        <v>33</v>
      </c>
      <c r="AI118" s="13"/>
      <c r="AJ118" s="13"/>
      <c r="AK118" s="13"/>
      <c r="AL118" s="13"/>
      <c r="AM118" s="13"/>
      <c r="AN118" s="13">
        <v>33</v>
      </c>
      <c r="AO118" s="13"/>
      <c r="AP118" s="13">
        <v>33</v>
      </c>
      <c r="AQ118" s="13"/>
      <c r="AR118" s="13">
        <v>33</v>
      </c>
      <c r="AS118" s="13"/>
      <c r="AT118" s="13"/>
      <c r="AU118" s="13">
        <v>33</v>
      </c>
      <c r="AV118" s="21"/>
      <c r="AW118" s="13">
        <v>33</v>
      </c>
      <c r="AX118" s="13"/>
      <c r="AY118" s="13">
        <v>33</v>
      </c>
      <c r="AZ118" s="13"/>
      <c r="BA118" s="13">
        <v>33</v>
      </c>
      <c r="BB118" s="13"/>
      <c r="BC118" s="13"/>
      <c r="BD118" s="13"/>
      <c r="BE118" s="13"/>
      <c r="BF118" s="13">
        <v>33</v>
      </c>
      <c r="BG118" s="13"/>
      <c r="BH118" s="13">
        <v>33</v>
      </c>
      <c r="BI118" s="13"/>
      <c r="BJ118" s="13">
        <v>33</v>
      </c>
      <c r="BK118" s="13"/>
      <c r="BL118" s="13"/>
      <c r="BM118" s="13">
        <f t="shared" si="24"/>
        <v>2.4000000000000341</v>
      </c>
      <c r="BN118" s="22">
        <f t="shared" si="25"/>
        <v>33</v>
      </c>
      <c r="BO118" s="23" t="str">
        <f t="shared" si="26"/>
        <v>ok</v>
      </c>
      <c r="BP118" s="22">
        <f t="shared" si="27"/>
        <v>198</v>
      </c>
      <c r="BQ118" s="22" t="str">
        <f t="shared" si="28"/>
        <v>ok</v>
      </c>
      <c r="BR118" s="56" t="s">
        <v>28</v>
      </c>
    </row>
    <row r="119" spans="1:70" s="12" customFormat="1" ht="24.95" customHeight="1" x14ac:dyDescent="0.25">
      <c r="A119" s="4" t="s">
        <v>255</v>
      </c>
      <c r="B119" s="15" t="s">
        <v>256</v>
      </c>
      <c r="C119" s="5">
        <v>70007</v>
      </c>
      <c r="D119" s="5" t="s">
        <v>730</v>
      </c>
      <c r="E119" s="16" t="s">
        <v>845</v>
      </c>
      <c r="F119" s="16">
        <v>2</v>
      </c>
      <c r="G119" s="16">
        <v>0</v>
      </c>
      <c r="H119" s="16" t="s">
        <v>27</v>
      </c>
      <c r="I119" s="16" t="s">
        <v>14</v>
      </c>
      <c r="J119" s="17"/>
      <c r="K119" s="17"/>
      <c r="L119" s="17"/>
      <c r="M119" s="17"/>
      <c r="N119" s="17"/>
      <c r="O119" s="13"/>
      <c r="P119" s="13"/>
      <c r="Q119" s="13">
        <v>17</v>
      </c>
      <c r="R119" s="6">
        <v>9</v>
      </c>
      <c r="S119" s="7">
        <v>0.08</v>
      </c>
      <c r="T119" s="62">
        <v>45</v>
      </c>
      <c r="U119" s="16">
        <v>324</v>
      </c>
      <c r="V119" s="16"/>
      <c r="W119" s="16">
        <v>583.5</v>
      </c>
      <c r="X119" s="18">
        <v>583.5</v>
      </c>
      <c r="Y119" s="16">
        <f t="shared" si="29"/>
        <v>-9</v>
      </c>
      <c r="Z119" s="16">
        <f t="shared" si="30"/>
        <v>315</v>
      </c>
      <c r="AA119" s="4">
        <v>0</v>
      </c>
      <c r="AB119" s="4">
        <v>0</v>
      </c>
      <c r="AC119" s="4">
        <v>25</v>
      </c>
      <c r="AD119" s="4">
        <v>45</v>
      </c>
      <c r="AE119" s="19">
        <v>70</v>
      </c>
      <c r="AF119" s="13">
        <f t="shared" si="31"/>
        <v>2</v>
      </c>
      <c r="AG119" s="20">
        <f t="shared" si="23"/>
        <v>46033</v>
      </c>
      <c r="AH119" s="13">
        <v>45</v>
      </c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>
        <v>45</v>
      </c>
      <c r="AV119" s="21">
        <v>45</v>
      </c>
      <c r="AW119" s="13"/>
      <c r="AX119" s="13"/>
      <c r="AY119" s="13"/>
      <c r="AZ119" s="13">
        <v>45</v>
      </c>
      <c r="BA119" s="13"/>
      <c r="BB119" s="13"/>
      <c r="BC119" s="13">
        <v>45</v>
      </c>
      <c r="BD119" s="13"/>
      <c r="BE119" s="13">
        <v>45</v>
      </c>
      <c r="BF119" s="13"/>
      <c r="BG119" s="13"/>
      <c r="BH119" s="13">
        <v>45</v>
      </c>
      <c r="BI119" s="13"/>
      <c r="BJ119" s="13"/>
      <c r="BK119" s="13"/>
      <c r="BL119" s="13"/>
      <c r="BM119" s="13">
        <f t="shared" si="24"/>
        <v>9</v>
      </c>
      <c r="BN119" s="22">
        <f t="shared" si="25"/>
        <v>45</v>
      </c>
      <c r="BO119" s="23" t="str">
        <f t="shared" si="26"/>
        <v>ok</v>
      </c>
      <c r="BP119" s="22">
        <f t="shared" si="27"/>
        <v>583.5</v>
      </c>
      <c r="BQ119" s="22" t="str">
        <f t="shared" si="28"/>
        <v>ok</v>
      </c>
      <c r="BR119" s="56" t="s">
        <v>28</v>
      </c>
    </row>
    <row r="120" spans="1:70" s="12" customFormat="1" ht="24.95" customHeight="1" x14ac:dyDescent="0.25">
      <c r="A120" s="4" t="s">
        <v>257</v>
      </c>
      <c r="B120" s="15" t="s">
        <v>258</v>
      </c>
      <c r="C120" s="5">
        <v>70007</v>
      </c>
      <c r="D120" s="5" t="s">
        <v>730</v>
      </c>
      <c r="E120" s="16" t="s">
        <v>846</v>
      </c>
      <c r="F120" s="16">
        <v>2</v>
      </c>
      <c r="G120" s="16">
        <v>0</v>
      </c>
      <c r="H120" s="16" t="s">
        <v>27</v>
      </c>
      <c r="I120" s="16" t="s">
        <v>14</v>
      </c>
      <c r="J120" s="17"/>
      <c r="K120" s="17"/>
      <c r="L120" s="17"/>
      <c r="M120" s="17"/>
      <c r="N120" s="17"/>
      <c r="O120" s="13"/>
      <c r="P120" s="13"/>
      <c r="Q120" s="13">
        <v>62</v>
      </c>
      <c r="R120" s="6">
        <v>9</v>
      </c>
      <c r="S120" s="7">
        <v>0.08</v>
      </c>
      <c r="T120" s="62">
        <v>45</v>
      </c>
      <c r="U120" s="16">
        <v>98.100000000000009</v>
      </c>
      <c r="V120" s="16"/>
      <c r="W120" s="16">
        <v>130.5</v>
      </c>
      <c r="X120" s="18">
        <v>130.5</v>
      </c>
      <c r="Y120" s="16">
        <f t="shared" si="29"/>
        <v>-8.1000000000000085</v>
      </c>
      <c r="Z120" s="16">
        <f t="shared" si="30"/>
        <v>90</v>
      </c>
      <c r="AA120" s="4">
        <v>45</v>
      </c>
      <c r="AB120" s="4">
        <v>0</v>
      </c>
      <c r="AC120" s="4">
        <v>33</v>
      </c>
      <c r="AD120" s="4">
        <v>0</v>
      </c>
      <c r="AE120" s="19">
        <v>78</v>
      </c>
      <c r="AF120" s="13">
        <f t="shared" si="31"/>
        <v>2</v>
      </c>
      <c r="AG120" s="20">
        <f t="shared" si="23"/>
        <v>46032</v>
      </c>
      <c r="AH120" s="13"/>
      <c r="AI120" s="13"/>
      <c r="AJ120" s="13"/>
      <c r="AK120" s="13">
        <v>45</v>
      </c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21"/>
      <c r="AW120" s="13"/>
      <c r="AX120" s="13"/>
      <c r="AY120" s="13"/>
      <c r="AZ120" s="13"/>
      <c r="BA120" s="13"/>
      <c r="BB120" s="13">
        <v>45</v>
      </c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>
        <f t="shared" si="24"/>
        <v>8.1000000000000085</v>
      </c>
      <c r="BN120" s="22">
        <f t="shared" si="25"/>
        <v>45</v>
      </c>
      <c r="BO120" s="23" t="str">
        <f t="shared" si="26"/>
        <v>ok</v>
      </c>
      <c r="BP120" s="22">
        <f t="shared" si="27"/>
        <v>130.5</v>
      </c>
      <c r="BQ120" s="22" t="str">
        <f t="shared" si="28"/>
        <v>ok</v>
      </c>
      <c r="BR120" s="56" t="s">
        <v>28</v>
      </c>
    </row>
    <row r="121" spans="1:70" s="12" customFormat="1" ht="24.95" customHeight="1" x14ac:dyDescent="0.25">
      <c r="A121" s="4" t="s">
        <v>259</v>
      </c>
      <c r="B121" s="15" t="s">
        <v>260</v>
      </c>
      <c r="C121" s="5">
        <v>70007</v>
      </c>
      <c r="D121" s="5" t="s">
        <v>730</v>
      </c>
      <c r="E121" s="16" t="s">
        <v>847</v>
      </c>
      <c r="F121" s="16">
        <v>2</v>
      </c>
      <c r="G121" s="16">
        <v>0</v>
      </c>
      <c r="H121" s="16" t="s">
        <v>27</v>
      </c>
      <c r="I121" s="16" t="s">
        <v>14</v>
      </c>
      <c r="J121" s="17"/>
      <c r="K121" s="17"/>
      <c r="L121" s="17"/>
      <c r="M121" s="17"/>
      <c r="N121" s="17"/>
      <c r="O121" s="13"/>
      <c r="P121" s="13"/>
      <c r="Q121" s="13">
        <v>11</v>
      </c>
      <c r="R121" s="6">
        <v>164</v>
      </c>
      <c r="S121" s="7">
        <v>0.08</v>
      </c>
      <c r="T121" s="62">
        <v>45</v>
      </c>
      <c r="U121" s="16">
        <v>132.30000000000001</v>
      </c>
      <c r="V121" s="16"/>
      <c r="W121" s="16">
        <v>84</v>
      </c>
      <c r="X121" s="18">
        <v>84</v>
      </c>
      <c r="Y121" s="16">
        <f t="shared" si="29"/>
        <v>0</v>
      </c>
      <c r="Z121" s="16">
        <f t="shared" si="30"/>
        <v>132.30000000000001</v>
      </c>
      <c r="AA121" s="4">
        <v>0</v>
      </c>
      <c r="AB121" s="4">
        <v>14</v>
      </c>
      <c r="AC121" s="4">
        <v>9</v>
      </c>
      <c r="AD121" s="4">
        <v>33</v>
      </c>
      <c r="AE121" s="19">
        <v>56</v>
      </c>
      <c r="AF121" s="13">
        <f t="shared" si="31"/>
        <v>2</v>
      </c>
      <c r="AG121" s="20">
        <f t="shared" si="23"/>
        <v>46033</v>
      </c>
      <c r="AH121" s="13"/>
      <c r="AI121" s="13"/>
      <c r="AJ121" s="13">
        <v>45</v>
      </c>
      <c r="AK121" s="13"/>
      <c r="AL121" s="13"/>
      <c r="AM121" s="13"/>
      <c r="AN121" s="13">
        <v>45</v>
      </c>
      <c r="AO121" s="13"/>
      <c r="AP121" s="13"/>
      <c r="AQ121" s="13">
        <v>42.3</v>
      </c>
      <c r="AR121" s="13"/>
      <c r="AS121" s="13"/>
      <c r="AT121" s="13"/>
      <c r="AU121" s="13"/>
      <c r="AV121" s="21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>
        <f t="shared" si="24"/>
        <v>0</v>
      </c>
      <c r="BN121" s="22">
        <f t="shared" si="25"/>
        <v>45</v>
      </c>
      <c r="BO121" s="23" t="str">
        <f t="shared" si="26"/>
        <v>ok</v>
      </c>
      <c r="BP121" s="22">
        <f t="shared" si="27"/>
        <v>84</v>
      </c>
      <c r="BQ121" s="22" t="str">
        <f t="shared" si="28"/>
        <v>ok</v>
      </c>
      <c r="BR121" s="56"/>
    </row>
    <row r="122" spans="1:70" s="12" customFormat="1" ht="24.95" customHeight="1" x14ac:dyDescent="0.25">
      <c r="A122" s="4" t="s">
        <v>261</v>
      </c>
      <c r="B122" s="15" t="s">
        <v>262</v>
      </c>
      <c r="C122" s="5">
        <v>70007</v>
      </c>
      <c r="D122" s="5" t="s">
        <v>730</v>
      </c>
      <c r="E122" s="16" t="s">
        <v>848</v>
      </c>
      <c r="F122" s="16">
        <v>1</v>
      </c>
      <c r="G122" s="16">
        <v>0</v>
      </c>
      <c r="H122" s="16" t="s">
        <v>26</v>
      </c>
      <c r="I122" s="16" t="s">
        <v>14</v>
      </c>
      <c r="J122" s="17"/>
      <c r="K122" s="17"/>
      <c r="L122" s="17"/>
      <c r="M122" s="17"/>
      <c r="N122" s="17"/>
      <c r="O122" s="13"/>
      <c r="P122" s="13"/>
      <c r="Q122" s="13">
        <v>15</v>
      </c>
      <c r="R122" s="6">
        <v>54</v>
      </c>
      <c r="S122" s="7">
        <v>0.2</v>
      </c>
      <c r="T122" s="62">
        <v>33</v>
      </c>
      <c r="U122" s="16">
        <v>11.700000000000001</v>
      </c>
      <c r="V122" s="16"/>
      <c r="W122" s="16">
        <v>45</v>
      </c>
      <c r="X122" s="18">
        <v>45</v>
      </c>
      <c r="Y122" s="16">
        <f t="shared" si="29"/>
        <v>0</v>
      </c>
      <c r="Z122" s="16">
        <f t="shared" si="30"/>
        <v>11.7</v>
      </c>
      <c r="AA122" s="4">
        <v>0</v>
      </c>
      <c r="AB122" s="4">
        <v>0</v>
      </c>
      <c r="AC122" s="4">
        <v>0</v>
      </c>
      <c r="AD122" s="4">
        <v>0</v>
      </c>
      <c r="AE122" s="19">
        <v>0</v>
      </c>
      <c r="AF122" s="13">
        <f t="shared" si="31"/>
        <v>2</v>
      </c>
      <c r="AG122" s="20">
        <f t="shared" si="23"/>
        <v>46031</v>
      </c>
      <c r="AH122" s="24"/>
      <c r="AI122" s="24"/>
      <c r="AJ122" s="24"/>
      <c r="AK122" s="24"/>
      <c r="AL122" s="24">
        <v>11.7</v>
      </c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>
        <f t="shared" si="24"/>
        <v>1.7763568394002505E-15</v>
      </c>
      <c r="BN122" s="22">
        <f t="shared" si="25"/>
        <v>11.7</v>
      </c>
      <c r="BO122" s="23" t="str">
        <f t="shared" si="26"/>
        <v>ok</v>
      </c>
      <c r="BP122" s="22">
        <f t="shared" si="27"/>
        <v>45</v>
      </c>
      <c r="BQ122" s="22" t="str">
        <f t="shared" si="28"/>
        <v>ok</v>
      </c>
      <c r="BR122" s="56"/>
    </row>
    <row r="123" spans="1:70" s="12" customFormat="1" ht="24.95" customHeight="1" x14ac:dyDescent="0.25">
      <c r="A123" s="4" t="s">
        <v>263</v>
      </c>
      <c r="B123" s="15" t="s">
        <v>264</v>
      </c>
      <c r="C123" s="5">
        <v>70007</v>
      </c>
      <c r="D123" s="5" t="s">
        <v>730</v>
      </c>
      <c r="E123" s="16" t="s">
        <v>849</v>
      </c>
      <c r="F123" s="16">
        <v>2</v>
      </c>
      <c r="G123" s="16">
        <v>0</v>
      </c>
      <c r="H123" s="16" t="s">
        <v>27</v>
      </c>
      <c r="I123" s="16" t="s">
        <v>14</v>
      </c>
      <c r="J123" s="17"/>
      <c r="K123" s="17"/>
      <c r="L123" s="17"/>
      <c r="M123" s="17"/>
      <c r="N123" s="17"/>
      <c r="O123" s="13"/>
      <c r="P123" s="13"/>
      <c r="Q123" s="13">
        <v>70</v>
      </c>
      <c r="R123" s="6">
        <v>9</v>
      </c>
      <c r="S123" s="7">
        <v>0.08</v>
      </c>
      <c r="T123" s="62">
        <v>45</v>
      </c>
      <c r="U123" s="16">
        <v>98.100000000000009</v>
      </c>
      <c r="V123" s="16"/>
      <c r="W123" s="16">
        <v>315</v>
      </c>
      <c r="X123" s="18">
        <v>315</v>
      </c>
      <c r="Y123" s="16">
        <f t="shared" si="29"/>
        <v>-8.1000000000000085</v>
      </c>
      <c r="Z123" s="16">
        <f t="shared" si="30"/>
        <v>90</v>
      </c>
      <c r="AA123" s="4">
        <v>0</v>
      </c>
      <c r="AB123" s="4">
        <v>0</v>
      </c>
      <c r="AC123" s="4">
        <v>90</v>
      </c>
      <c r="AD123" s="4">
        <v>0</v>
      </c>
      <c r="AE123" s="19">
        <v>90</v>
      </c>
      <c r="AF123" s="13">
        <f t="shared" si="31"/>
        <v>2</v>
      </c>
      <c r="AG123" s="20">
        <f t="shared" si="23"/>
        <v>46032</v>
      </c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21"/>
      <c r="AW123" s="13"/>
      <c r="AX123" s="13"/>
      <c r="AY123" s="13">
        <v>45</v>
      </c>
      <c r="AZ123" s="13"/>
      <c r="BA123" s="13">
        <v>45</v>
      </c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>
        <f t="shared" si="24"/>
        <v>8.1000000000000085</v>
      </c>
      <c r="BN123" s="22">
        <f t="shared" si="25"/>
        <v>45</v>
      </c>
      <c r="BO123" s="23" t="str">
        <f t="shared" si="26"/>
        <v>ok</v>
      </c>
      <c r="BP123" s="22">
        <f t="shared" si="27"/>
        <v>315</v>
      </c>
      <c r="BQ123" s="22" t="str">
        <f t="shared" si="28"/>
        <v>ok</v>
      </c>
      <c r="BR123" s="56" t="s">
        <v>28</v>
      </c>
    </row>
    <row r="124" spans="1:70" s="12" customFormat="1" ht="24.95" customHeight="1" x14ac:dyDescent="0.25">
      <c r="A124" s="4" t="s">
        <v>265</v>
      </c>
      <c r="B124" s="15" t="s">
        <v>266</v>
      </c>
      <c r="C124" s="5">
        <v>70007</v>
      </c>
      <c r="D124" s="5" t="s">
        <v>730</v>
      </c>
      <c r="E124" s="16" t="s">
        <v>850</v>
      </c>
      <c r="F124" s="16">
        <v>2</v>
      </c>
      <c r="G124" s="16">
        <v>1</v>
      </c>
      <c r="H124" s="16" t="s">
        <v>26</v>
      </c>
      <c r="I124" s="16" t="s">
        <v>14</v>
      </c>
      <c r="J124" s="17"/>
      <c r="K124" s="17"/>
      <c r="L124" s="17"/>
      <c r="M124" s="17"/>
      <c r="N124" s="17"/>
      <c r="O124" s="13"/>
      <c r="P124" s="13"/>
      <c r="Q124" s="13">
        <v>11</v>
      </c>
      <c r="R124" s="13">
        <v>9</v>
      </c>
      <c r="S124" s="7">
        <v>0.08</v>
      </c>
      <c r="T124" s="62">
        <v>33</v>
      </c>
      <c r="U124" s="16">
        <v>118.8</v>
      </c>
      <c r="V124" s="16"/>
      <c r="W124" s="16">
        <v>120</v>
      </c>
      <c r="X124" s="18">
        <v>120</v>
      </c>
      <c r="Y124" s="16">
        <f t="shared" si="29"/>
        <v>0</v>
      </c>
      <c r="Z124" s="16">
        <f t="shared" si="30"/>
        <v>118.8</v>
      </c>
      <c r="AA124" s="4">
        <v>0</v>
      </c>
      <c r="AB124" s="4">
        <v>0</v>
      </c>
      <c r="AC124" s="4">
        <v>45</v>
      </c>
      <c r="AD124" s="4">
        <v>0</v>
      </c>
      <c r="AE124" s="19">
        <v>45</v>
      </c>
      <c r="AF124" s="13">
        <f t="shared" si="31"/>
        <v>2</v>
      </c>
      <c r="AG124" s="20">
        <f t="shared" si="23"/>
        <v>46032</v>
      </c>
      <c r="AH124" s="13"/>
      <c r="AI124" s="13"/>
      <c r="AJ124" s="13"/>
      <c r="AK124" s="13">
        <v>19.8</v>
      </c>
      <c r="AL124" s="13">
        <v>33</v>
      </c>
      <c r="AM124" s="13"/>
      <c r="AN124" s="13"/>
      <c r="AO124" s="13"/>
      <c r="AP124" s="13"/>
      <c r="AQ124" s="13"/>
      <c r="AR124" s="13"/>
      <c r="AS124" s="13">
        <v>33</v>
      </c>
      <c r="AT124" s="13"/>
      <c r="AU124" s="13"/>
      <c r="AV124" s="21"/>
      <c r="AW124" s="13"/>
      <c r="AX124" s="13"/>
      <c r="AY124" s="13"/>
      <c r="AZ124" s="13"/>
      <c r="BA124" s="13"/>
      <c r="BB124" s="13">
        <v>33</v>
      </c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>
        <f t="shared" si="24"/>
        <v>0</v>
      </c>
      <c r="BN124" s="22">
        <f t="shared" si="25"/>
        <v>33</v>
      </c>
      <c r="BO124" s="23" t="str">
        <f t="shared" si="26"/>
        <v>ok</v>
      </c>
      <c r="BP124" s="22">
        <f t="shared" si="27"/>
        <v>120</v>
      </c>
      <c r="BQ124" s="22" t="str">
        <f t="shared" si="28"/>
        <v>ok</v>
      </c>
      <c r="BR124" s="56"/>
    </row>
    <row r="125" spans="1:70" s="12" customFormat="1" ht="24.95" customHeight="1" x14ac:dyDescent="0.25">
      <c r="A125" s="4" t="s">
        <v>267</v>
      </c>
      <c r="B125" s="15" t="s">
        <v>268</v>
      </c>
      <c r="C125" s="5">
        <v>70007</v>
      </c>
      <c r="D125" s="5" t="s">
        <v>730</v>
      </c>
      <c r="E125" s="16" t="s">
        <v>851</v>
      </c>
      <c r="F125" s="16">
        <v>2</v>
      </c>
      <c r="G125" s="16">
        <v>0</v>
      </c>
      <c r="H125" s="16" t="s">
        <v>26</v>
      </c>
      <c r="I125" s="16" t="s">
        <v>14</v>
      </c>
      <c r="J125" s="17"/>
      <c r="K125" s="17"/>
      <c r="L125" s="17"/>
      <c r="M125" s="17"/>
      <c r="N125" s="17"/>
      <c r="O125" s="13"/>
      <c r="P125" s="13"/>
      <c r="Q125" s="13">
        <v>11</v>
      </c>
      <c r="R125" s="6">
        <v>9</v>
      </c>
      <c r="S125" s="7">
        <v>0.08</v>
      </c>
      <c r="T125" s="62">
        <v>33</v>
      </c>
      <c r="U125" s="16">
        <v>445.5</v>
      </c>
      <c r="V125" s="16"/>
      <c r="W125" s="16">
        <v>184.5</v>
      </c>
      <c r="X125" s="18">
        <v>184.5</v>
      </c>
      <c r="Y125" s="16">
        <f t="shared" si="29"/>
        <v>0</v>
      </c>
      <c r="Z125" s="16">
        <f t="shared" si="30"/>
        <v>445.5</v>
      </c>
      <c r="AA125" s="4">
        <v>26</v>
      </c>
      <c r="AB125" s="4">
        <v>0</v>
      </c>
      <c r="AC125" s="4">
        <v>0</v>
      </c>
      <c r="AD125" s="4">
        <v>45</v>
      </c>
      <c r="AE125" s="19">
        <v>71</v>
      </c>
      <c r="AF125" s="13">
        <f t="shared" si="31"/>
        <v>2</v>
      </c>
      <c r="AG125" s="20">
        <f t="shared" si="23"/>
        <v>46033</v>
      </c>
      <c r="AH125" s="24"/>
      <c r="AI125" s="24">
        <v>33</v>
      </c>
      <c r="AJ125" s="24">
        <v>33</v>
      </c>
      <c r="AK125" s="24">
        <v>16.5</v>
      </c>
      <c r="AL125" s="24">
        <v>33</v>
      </c>
      <c r="AM125" s="24">
        <v>33</v>
      </c>
      <c r="AN125" s="24"/>
      <c r="AO125" s="24">
        <v>33</v>
      </c>
      <c r="AP125" s="24"/>
      <c r="AQ125" s="24"/>
      <c r="AR125" s="24"/>
      <c r="AS125" s="24">
        <v>33</v>
      </c>
      <c r="AT125" s="24"/>
      <c r="AU125" s="24">
        <v>33</v>
      </c>
      <c r="AV125" s="24">
        <v>33</v>
      </c>
      <c r="AW125" s="24">
        <v>33</v>
      </c>
      <c r="AX125" s="24"/>
      <c r="AY125" s="13"/>
      <c r="AZ125" s="13">
        <v>33</v>
      </c>
      <c r="BA125" s="13"/>
      <c r="BB125" s="13">
        <v>33</v>
      </c>
      <c r="BC125" s="13">
        <v>33</v>
      </c>
      <c r="BD125" s="13"/>
      <c r="BE125" s="13">
        <v>33</v>
      </c>
      <c r="BF125" s="13"/>
      <c r="BG125" s="13"/>
      <c r="BH125" s="13"/>
      <c r="BI125" s="13"/>
      <c r="BJ125" s="13"/>
      <c r="BK125" s="13"/>
      <c r="BL125" s="13"/>
      <c r="BM125" s="13">
        <f t="shared" si="24"/>
        <v>0</v>
      </c>
      <c r="BN125" s="22">
        <f t="shared" si="25"/>
        <v>33</v>
      </c>
      <c r="BO125" s="23" t="str">
        <f t="shared" si="26"/>
        <v>ok</v>
      </c>
      <c r="BP125" s="22">
        <f t="shared" si="27"/>
        <v>184.5</v>
      </c>
      <c r="BQ125" s="22" t="str">
        <f t="shared" si="28"/>
        <v>ok</v>
      </c>
      <c r="BR125" s="56"/>
    </row>
    <row r="126" spans="1:70" s="12" customFormat="1" ht="24.95" customHeight="1" x14ac:dyDescent="0.25">
      <c r="A126" s="4" t="s">
        <v>269</v>
      </c>
      <c r="B126" s="15" t="s">
        <v>270</v>
      </c>
      <c r="C126" s="5">
        <v>70007</v>
      </c>
      <c r="D126" s="5" t="s">
        <v>730</v>
      </c>
      <c r="E126" s="16" t="s">
        <v>852</v>
      </c>
      <c r="F126" s="16">
        <v>1</v>
      </c>
      <c r="G126" s="16">
        <v>0</v>
      </c>
      <c r="H126" s="16" t="s">
        <v>27</v>
      </c>
      <c r="I126" s="16" t="s">
        <v>14</v>
      </c>
      <c r="J126" s="17"/>
      <c r="K126" s="17"/>
      <c r="L126" s="17"/>
      <c r="M126" s="17"/>
      <c r="N126" s="17"/>
      <c r="O126" s="13"/>
      <c r="P126" s="13"/>
      <c r="Q126" s="13">
        <v>63</v>
      </c>
      <c r="R126" s="6">
        <v>369</v>
      </c>
      <c r="S126" s="7">
        <v>0.08</v>
      </c>
      <c r="T126" s="62">
        <v>45</v>
      </c>
      <c r="U126" s="16">
        <v>31.5</v>
      </c>
      <c r="V126" s="16"/>
      <c r="W126" s="16">
        <v>94.5</v>
      </c>
      <c r="X126" s="18">
        <v>94.5</v>
      </c>
      <c r="Y126" s="16">
        <f t="shared" si="29"/>
        <v>0</v>
      </c>
      <c r="Z126" s="16">
        <f t="shared" si="30"/>
        <v>31.5</v>
      </c>
      <c r="AA126" s="4">
        <v>0</v>
      </c>
      <c r="AB126" s="4">
        <v>45</v>
      </c>
      <c r="AC126" s="4">
        <v>0</v>
      </c>
      <c r="AD126" s="4">
        <v>0</v>
      </c>
      <c r="AE126" s="19">
        <v>45</v>
      </c>
      <c r="AF126" s="13">
        <f t="shared" si="31"/>
        <v>2</v>
      </c>
      <c r="AG126" s="20">
        <f t="shared" si="23"/>
        <v>46031</v>
      </c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13"/>
      <c r="AZ126" s="13"/>
      <c r="BA126" s="13">
        <v>31.5</v>
      </c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>
        <f t="shared" si="24"/>
        <v>0</v>
      </c>
      <c r="BN126" s="22">
        <f t="shared" si="25"/>
        <v>31.5</v>
      </c>
      <c r="BO126" s="23" t="str">
        <f t="shared" si="26"/>
        <v>ok</v>
      </c>
      <c r="BP126" s="22">
        <f t="shared" si="27"/>
        <v>94.5</v>
      </c>
      <c r="BQ126" s="22" t="str">
        <f t="shared" si="28"/>
        <v>ok</v>
      </c>
      <c r="BR126" s="56"/>
    </row>
    <row r="127" spans="1:70" s="12" customFormat="1" ht="24.95" customHeight="1" x14ac:dyDescent="0.25">
      <c r="A127" s="4" t="s">
        <v>271</v>
      </c>
      <c r="B127" s="15" t="s">
        <v>272</v>
      </c>
      <c r="C127" s="5">
        <v>70007</v>
      </c>
      <c r="D127" s="5" t="s">
        <v>730</v>
      </c>
      <c r="E127" s="16" t="s">
        <v>853</v>
      </c>
      <c r="F127" s="16">
        <v>2</v>
      </c>
      <c r="G127" s="16">
        <v>0</v>
      </c>
      <c r="H127" s="16" t="s">
        <v>26</v>
      </c>
      <c r="I127" s="16" t="s">
        <v>14</v>
      </c>
      <c r="J127" s="17"/>
      <c r="K127" s="17"/>
      <c r="L127" s="17"/>
      <c r="M127" s="17"/>
      <c r="N127" s="17"/>
      <c r="O127" s="13"/>
      <c r="P127" s="13"/>
      <c r="Q127" s="13">
        <v>15</v>
      </c>
      <c r="R127" s="6">
        <v>98</v>
      </c>
      <c r="S127" s="7">
        <v>0.08</v>
      </c>
      <c r="T127" s="62">
        <v>33</v>
      </c>
      <c r="U127" s="16">
        <v>256.5</v>
      </c>
      <c r="V127" s="16"/>
      <c r="W127" s="16">
        <v>67.5</v>
      </c>
      <c r="X127" s="18">
        <v>67.5</v>
      </c>
      <c r="Y127" s="16">
        <f t="shared" si="29"/>
        <v>0</v>
      </c>
      <c r="Z127" s="16">
        <f t="shared" si="30"/>
        <v>256.5</v>
      </c>
      <c r="AA127" s="4">
        <v>0</v>
      </c>
      <c r="AB127" s="4">
        <v>33</v>
      </c>
      <c r="AC127" s="4">
        <v>10</v>
      </c>
      <c r="AD127" s="4">
        <v>0</v>
      </c>
      <c r="AE127" s="19">
        <v>43</v>
      </c>
      <c r="AF127" s="13">
        <f t="shared" si="31"/>
        <v>2</v>
      </c>
      <c r="AG127" s="20">
        <f t="shared" si="23"/>
        <v>46032</v>
      </c>
      <c r="AH127" s="24"/>
      <c r="AI127" s="24"/>
      <c r="AJ127" s="24"/>
      <c r="AK127" s="24"/>
      <c r="AL127" s="24"/>
      <c r="AM127" s="24"/>
      <c r="AN127" s="24"/>
      <c r="AO127" s="24"/>
      <c r="AP127" s="24"/>
      <c r="AQ127" s="24">
        <v>33</v>
      </c>
      <c r="AR127" s="24">
        <v>33</v>
      </c>
      <c r="AS127" s="24"/>
      <c r="AT127" s="24">
        <v>33</v>
      </c>
      <c r="AU127" s="24"/>
      <c r="AV127" s="24"/>
      <c r="AW127" s="24">
        <v>33</v>
      </c>
      <c r="AX127" s="24"/>
      <c r="AY127" s="13">
        <v>25.5</v>
      </c>
      <c r="AZ127" s="13"/>
      <c r="BA127" s="13"/>
      <c r="BB127" s="13"/>
      <c r="BC127" s="13"/>
      <c r="BD127" s="13"/>
      <c r="BE127" s="13"/>
      <c r="BF127" s="13">
        <v>33</v>
      </c>
      <c r="BG127" s="13"/>
      <c r="BH127" s="13"/>
      <c r="BI127" s="13"/>
      <c r="BJ127" s="13">
        <v>33</v>
      </c>
      <c r="BK127" s="13"/>
      <c r="BL127" s="13">
        <v>33</v>
      </c>
      <c r="BM127" s="13">
        <f t="shared" si="24"/>
        <v>33</v>
      </c>
      <c r="BN127" s="22">
        <f t="shared" si="25"/>
        <v>33</v>
      </c>
      <c r="BO127" s="23" t="str">
        <f t="shared" si="26"/>
        <v>ok</v>
      </c>
      <c r="BP127" s="22">
        <f t="shared" si="27"/>
        <v>67.5</v>
      </c>
      <c r="BQ127" s="22" t="str">
        <f t="shared" si="28"/>
        <v>ok</v>
      </c>
      <c r="BR127" s="56"/>
    </row>
    <row r="128" spans="1:70" s="12" customFormat="1" ht="24.95" customHeight="1" x14ac:dyDescent="0.25">
      <c r="A128" s="4" t="s">
        <v>273</v>
      </c>
      <c r="B128" s="15" t="s">
        <v>274</v>
      </c>
      <c r="C128" s="5">
        <v>70007</v>
      </c>
      <c r="D128" s="5" t="s">
        <v>730</v>
      </c>
      <c r="E128" s="16" t="s">
        <v>854</v>
      </c>
      <c r="F128" s="16">
        <v>1</v>
      </c>
      <c r="G128" s="16">
        <v>1</v>
      </c>
      <c r="H128" s="16" t="s">
        <v>26</v>
      </c>
      <c r="I128" s="16" t="s">
        <v>14</v>
      </c>
      <c r="J128" s="17"/>
      <c r="K128" s="17"/>
      <c r="L128" s="17"/>
      <c r="M128" s="17"/>
      <c r="N128" s="17"/>
      <c r="O128" s="13"/>
      <c r="P128" s="13"/>
      <c r="Q128" s="13">
        <v>33</v>
      </c>
      <c r="R128" s="13">
        <v>9</v>
      </c>
      <c r="S128" s="7">
        <v>0.08</v>
      </c>
      <c r="T128" s="62">
        <v>33</v>
      </c>
      <c r="U128" s="16">
        <v>89.100000000000009</v>
      </c>
      <c r="V128" s="16"/>
      <c r="W128" s="16">
        <v>67.5</v>
      </c>
      <c r="X128" s="18">
        <v>67.5</v>
      </c>
      <c r="Y128" s="16">
        <f t="shared" si="29"/>
        <v>0</v>
      </c>
      <c r="Z128" s="16">
        <f t="shared" si="30"/>
        <v>89.1</v>
      </c>
      <c r="AA128" s="4">
        <v>0</v>
      </c>
      <c r="AB128" s="4">
        <v>0</v>
      </c>
      <c r="AC128" s="4">
        <v>0</v>
      </c>
      <c r="AD128" s="4">
        <v>0</v>
      </c>
      <c r="AE128" s="19">
        <v>0</v>
      </c>
      <c r="AF128" s="13">
        <f t="shared" si="31"/>
        <v>2</v>
      </c>
      <c r="AG128" s="20">
        <f t="shared" si="23"/>
        <v>46031</v>
      </c>
      <c r="AH128" s="13"/>
      <c r="AI128" s="13"/>
      <c r="AJ128" s="13"/>
      <c r="AK128" s="13"/>
      <c r="AL128" s="13"/>
      <c r="AM128" s="13"/>
      <c r="AN128" s="13"/>
      <c r="AO128" s="13"/>
      <c r="AP128" s="13">
        <v>23.1</v>
      </c>
      <c r="AQ128" s="13"/>
      <c r="AR128" s="13">
        <v>33</v>
      </c>
      <c r="AS128" s="13"/>
      <c r="AT128" s="13"/>
      <c r="AU128" s="13"/>
      <c r="AV128" s="21"/>
      <c r="AW128" s="13"/>
      <c r="AX128" s="13"/>
      <c r="AY128" s="13"/>
      <c r="AZ128" s="13"/>
      <c r="BA128" s="13"/>
      <c r="BB128" s="13"/>
      <c r="BC128" s="13"/>
      <c r="BD128" s="13"/>
      <c r="BE128" s="13">
        <v>33</v>
      </c>
      <c r="BF128" s="13"/>
      <c r="BG128" s="13"/>
      <c r="BH128" s="13"/>
      <c r="BI128" s="13"/>
      <c r="BJ128" s="13"/>
      <c r="BK128" s="13"/>
      <c r="BL128" s="13"/>
      <c r="BM128" s="13">
        <f t="shared" si="24"/>
        <v>1.4210854715202004E-14</v>
      </c>
      <c r="BN128" s="22">
        <f t="shared" si="25"/>
        <v>33</v>
      </c>
      <c r="BO128" s="23" t="str">
        <f t="shared" si="26"/>
        <v>ok</v>
      </c>
      <c r="BP128" s="22">
        <f t="shared" si="27"/>
        <v>67.5</v>
      </c>
      <c r="BQ128" s="22" t="str">
        <f t="shared" si="28"/>
        <v>ok</v>
      </c>
      <c r="BR128" s="56"/>
    </row>
    <row r="129" spans="1:70" s="12" customFormat="1" ht="24.95" customHeight="1" x14ac:dyDescent="0.25">
      <c r="A129" s="4" t="s">
        <v>275</v>
      </c>
      <c r="B129" s="15" t="s">
        <v>276</v>
      </c>
      <c r="C129" s="5">
        <v>70007</v>
      </c>
      <c r="D129" s="5" t="s">
        <v>730</v>
      </c>
      <c r="E129" s="16" t="s">
        <v>855</v>
      </c>
      <c r="F129" s="16">
        <v>2</v>
      </c>
      <c r="G129" s="16">
        <v>0</v>
      </c>
      <c r="H129" s="16" t="s">
        <v>26</v>
      </c>
      <c r="I129" s="16" t="s">
        <v>14</v>
      </c>
      <c r="J129" s="17"/>
      <c r="K129" s="17"/>
      <c r="L129" s="17"/>
      <c r="M129" s="17"/>
      <c r="N129" s="17"/>
      <c r="O129" s="13"/>
      <c r="P129" s="13"/>
      <c r="Q129" s="13">
        <v>12</v>
      </c>
      <c r="R129" s="6">
        <v>9</v>
      </c>
      <c r="S129" s="7">
        <v>0.08</v>
      </c>
      <c r="T129" s="62">
        <v>33</v>
      </c>
      <c r="U129" s="16">
        <v>176.4</v>
      </c>
      <c r="V129" s="16"/>
      <c r="W129" s="16">
        <v>97.5</v>
      </c>
      <c r="X129" s="18">
        <v>97.5</v>
      </c>
      <c r="Y129" s="16">
        <f t="shared" si="29"/>
        <v>0</v>
      </c>
      <c r="Z129" s="16">
        <f t="shared" si="30"/>
        <v>176.4</v>
      </c>
      <c r="AA129" s="4">
        <v>0</v>
      </c>
      <c r="AB129" s="4">
        <v>35</v>
      </c>
      <c r="AC129" s="4">
        <v>0</v>
      </c>
      <c r="AD129" s="4">
        <v>0</v>
      </c>
      <c r="AE129" s="19">
        <v>35</v>
      </c>
      <c r="AF129" s="13">
        <f t="shared" si="31"/>
        <v>2</v>
      </c>
      <c r="AG129" s="20">
        <f t="shared" si="23"/>
        <v>46031</v>
      </c>
      <c r="AH129" s="13">
        <v>33</v>
      </c>
      <c r="AI129" s="13"/>
      <c r="AJ129" s="13"/>
      <c r="AK129" s="13"/>
      <c r="AL129" s="13">
        <v>11.4</v>
      </c>
      <c r="AM129" s="13"/>
      <c r="AN129" s="13">
        <v>33</v>
      </c>
      <c r="AO129" s="13"/>
      <c r="AP129" s="13"/>
      <c r="AQ129" s="13">
        <v>33</v>
      </c>
      <c r="AR129" s="13"/>
      <c r="AS129" s="13"/>
      <c r="AT129" s="13">
        <v>33</v>
      </c>
      <c r="AU129" s="13"/>
      <c r="AV129" s="21"/>
      <c r="AW129" s="13">
        <v>33</v>
      </c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>
        <f t="shared" si="24"/>
        <v>0</v>
      </c>
      <c r="BN129" s="22">
        <f t="shared" si="25"/>
        <v>33</v>
      </c>
      <c r="BO129" s="23" t="str">
        <f t="shared" si="26"/>
        <v>ok</v>
      </c>
      <c r="BP129" s="22">
        <f t="shared" si="27"/>
        <v>97.5</v>
      </c>
      <c r="BQ129" s="22" t="str">
        <f t="shared" si="28"/>
        <v>ok</v>
      </c>
      <c r="BR129" s="56"/>
    </row>
    <row r="130" spans="1:70" s="12" customFormat="1" ht="24.95" customHeight="1" x14ac:dyDescent="0.25">
      <c r="A130" s="4" t="s">
        <v>277</v>
      </c>
      <c r="B130" s="15" t="s">
        <v>278</v>
      </c>
      <c r="C130" s="5">
        <v>70007</v>
      </c>
      <c r="D130" s="5" t="s">
        <v>730</v>
      </c>
      <c r="E130" s="16" t="s">
        <v>856</v>
      </c>
      <c r="F130" s="16">
        <v>2</v>
      </c>
      <c r="G130" s="16">
        <v>0</v>
      </c>
      <c r="H130" s="16" t="s">
        <v>26</v>
      </c>
      <c r="I130" s="16" t="s">
        <v>14</v>
      </c>
      <c r="J130" s="17"/>
      <c r="K130" s="17"/>
      <c r="L130" s="17"/>
      <c r="M130" s="17"/>
      <c r="N130" s="17"/>
      <c r="O130" s="13"/>
      <c r="P130" s="13"/>
      <c r="Q130" s="13">
        <v>129</v>
      </c>
      <c r="R130" s="6">
        <v>8</v>
      </c>
      <c r="S130" s="7">
        <v>0.08</v>
      </c>
      <c r="T130" s="62">
        <v>33</v>
      </c>
      <c r="U130" s="16">
        <v>11.700000000000001</v>
      </c>
      <c r="V130" s="16"/>
      <c r="W130" s="16">
        <v>73.5</v>
      </c>
      <c r="X130" s="18">
        <v>73.5</v>
      </c>
      <c r="Y130" s="16">
        <f t="shared" si="29"/>
        <v>0</v>
      </c>
      <c r="Z130" s="16">
        <f t="shared" si="30"/>
        <v>11.7</v>
      </c>
      <c r="AA130" s="4">
        <v>0</v>
      </c>
      <c r="AB130" s="4">
        <v>0</v>
      </c>
      <c r="AC130" s="4">
        <v>0</v>
      </c>
      <c r="AD130" s="4">
        <v>0</v>
      </c>
      <c r="AE130" s="19">
        <v>0</v>
      </c>
      <c r="AF130" s="13">
        <f t="shared" si="31"/>
        <v>2</v>
      </c>
      <c r="AG130" s="20">
        <f t="shared" si="23"/>
        <v>46031</v>
      </c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>
        <v>11.7</v>
      </c>
      <c r="BK130" s="13"/>
      <c r="BL130" s="13"/>
      <c r="BM130" s="13">
        <f t="shared" si="24"/>
        <v>1.7763568394002505E-15</v>
      </c>
      <c r="BN130" s="22">
        <f t="shared" si="25"/>
        <v>11.7</v>
      </c>
      <c r="BO130" s="23" t="str">
        <f t="shared" si="26"/>
        <v>ok</v>
      </c>
      <c r="BP130" s="22">
        <f t="shared" si="27"/>
        <v>73.5</v>
      </c>
      <c r="BQ130" s="22" t="str">
        <f t="shared" si="28"/>
        <v>ok</v>
      </c>
      <c r="BR130" s="56"/>
    </row>
    <row r="131" spans="1:70" s="12" customFormat="1" ht="24.95" customHeight="1" x14ac:dyDescent="0.25">
      <c r="A131" s="4" t="s">
        <v>279</v>
      </c>
      <c r="B131" s="15" t="s">
        <v>280</v>
      </c>
      <c r="C131" s="5">
        <v>70007</v>
      </c>
      <c r="D131" s="5" t="s">
        <v>730</v>
      </c>
      <c r="E131" s="16" t="s">
        <v>857</v>
      </c>
      <c r="F131" s="16">
        <v>2</v>
      </c>
      <c r="G131" s="16">
        <v>0</v>
      </c>
      <c r="H131" s="16" t="s">
        <v>26</v>
      </c>
      <c r="I131" s="16" t="s">
        <v>14</v>
      </c>
      <c r="J131" s="17"/>
      <c r="K131" s="17"/>
      <c r="L131" s="17"/>
      <c r="M131" s="17"/>
      <c r="N131" s="17"/>
      <c r="O131" s="13"/>
      <c r="P131" s="13"/>
      <c r="Q131" s="13">
        <v>47</v>
      </c>
      <c r="R131" s="6">
        <v>9</v>
      </c>
      <c r="S131" s="7">
        <v>0.08</v>
      </c>
      <c r="T131" s="62">
        <v>33</v>
      </c>
      <c r="U131" s="16">
        <v>118.8</v>
      </c>
      <c r="V131" s="16"/>
      <c r="W131" s="16">
        <v>202.5</v>
      </c>
      <c r="X131" s="18">
        <v>202.5</v>
      </c>
      <c r="Y131" s="16">
        <f t="shared" si="29"/>
        <v>0</v>
      </c>
      <c r="Z131" s="16">
        <f t="shared" si="30"/>
        <v>118.8</v>
      </c>
      <c r="AA131" s="4">
        <v>0</v>
      </c>
      <c r="AB131" s="4">
        <v>10</v>
      </c>
      <c r="AC131" s="4">
        <v>0</v>
      </c>
      <c r="AD131" s="4">
        <v>33</v>
      </c>
      <c r="AE131" s="19">
        <v>43</v>
      </c>
      <c r="AF131" s="13">
        <f t="shared" si="31"/>
        <v>2</v>
      </c>
      <c r="AG131" s="20">
        <f t="shared" si="23"/>
        <v>46033</v>
      </c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>
        <v>33</v>
      </c>
      <c r="AU131" s="13"/>
      <c r="AV131" s="21"/>
      <c r="AW131" s="13"/>
      <c r="AX131" s="13">
        <v>33</v>
      </c>
      <c r="AY131" s="13"/>
      <c r="AZ131" s="13"/>
      <c r="BA131" s="13">
        <v>19.8</v>
      </c>
      <c r="BB131" s="13"/>
      <c r="BC131" s="13"/>
      <c r="BD131" s="13"/>
      <c r="BE131" s="13"/>
      <c r="BF131" s="13"/>
      <c r="BG131" s="13"/>
      <c r="BH131" s="13"/>
      <c r="BI131" s="13">
        <v>33</v>
      </c>
      <c r="BJ131" s="13"/>
      <c r="BK131" s="13"/>
      <c r="BL131" s="13"/>
      <c r="BM131" s="13">
        <f t="shared" si="24"/>
        <v>0</v>
      </c>
      <c r="BN131" s="22">
        <f t="shared" si="25"/>
        <v>33</v>
      </c>
      <c r="BO131" s="23" t="str">
        <f t="shared" si="26"/>
        <v>ok</v>
      </c>
      <c r="BP131" s="22">
        <f t="shared" si="27"/>
        <v>202.5</v>
      </c>
      <c r="BQ131" s="22" t="str">
        <f t="shared" si="28"/>
        <v>ok</v>
      </c>
      <c r="BR131" s="56"/>
    </row>
    <row r="132" spans="1:70" s="12" customFormat="1" ht="24.95" customHeight="1" x14ac:dyDescent="0.25">
      <c r="A132" s="4" t="s">
        <v>281</v>
      </c>
      <c r="B132" s="15" t="s">
        <v>282</v>
      </c>
      <c r="C132" s="5">
        <v>70008</v>
      </c>
      <c r="D132" s="5" t="s">
        <v>730</v>
      </c>
      <c r="E132" s="16" t="s">
        <v>858</v>
      </c>
      <c r="F132" s="16">
        <v>1</v>
      </c>
      <c r="G132" s="16">
        <v>0</v>
      </c>
      <c r="H132" s="16">
        <v>0</v>
      </c>
      <c r="I132" s="16" t="s">
        <v>15</v>
      </c>
      <c r="J132" s="17"/>
      <c r="K132" s="17"/>
      <c r="L132" s="17"/>
      <c r="M132" s="17"/>
      <c r="N132" s="17"/>
      <c r="O132" s="13"/>
      <c r="P132" s="13"/>
      <c r="Q132" s="13">
        <v>44</v>
      </c>
      <c r="R132" s="6">
        <v>38</v>
      </c>
      <c r="S132" s="7">
        <v>0.09</v>
      </c>
      <c r="T132" s="62">
        <v>33</v>
      </c>
      <c r="U132" s="16">
        <v>9.9</v>
      </c>
      <c r="V132" s="16"/>
      <c r="W132" s="16">
        <v>75</v>
      </c>
      <c r="X132" s="18">
        <v>75</v>
      </c>
      <c r="Y132" s="16">
        <f t="shared" si="29"/>
        <v>0</v>
      </c>
      <c r="Z132" s="16">
        <f t="shared" si="30"/>
        <v>9.9</v>
      </c>
      <c r="AA132" s="4">
        <v>0</v>
      </c>
      <c r="AB132" s="4">
        <v>0</v>
      </c>
      <c r="AC132" s="4">
        <v>0</v>
      </c>
      <c r="AD132" s="4">
        <v>0</v>
      </c>
      <c r="AE132" s="19">
        <v>0</v>
      </c>
      <c r="AF132" s="13">
        <f t="shared" si="31"/>
        <v>3</v>
      </c>
      <c r="AG132" s="20">
        <f t="shared" si="23"/>
        <v>46031</v>
      </c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>
        <v>9.9</v>
      </c>
      <c r="AU132" s="24"/>
      <c r="AV132" s="24"/>
      <c r="AW132" s="24"/>
      <c r="AX132" s="24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>
        <f t="shared" si="24"/>
        <v>0</v>
      </c>
      <c r="BN132" s="22">
        <f t="shared" si="25"/>
        <v>9.9</v>
      </c>
      <c r="BO132" s="23" t="str">
        <f t="shared" si="26"/>
        <v>ok</v>
      </c>
      <c r="BP132" s="22">
        <f t="shared" si="27"/>
        <v>75</v>
      </c>
      <c r="BQ132" s="22" t="str">
        <f t="shared" si="28"/>
        <v>ok</v>
      </c>
      <c r="BR132" s="56"/>
    </row>
    <row r="133" spans="1:70" s="12" customFormat="1" ht="24.95" customHeight="1" x14ac:dyDescent="0.25">
      <c r="A133" s="4" t="s">
        <v>283</v>
      </c>
      <c r="B133" s="15" t="s">
        <v>284</v>
      </c>
      <c r="C133" s="5">
        <v>70008</v>
      </c>
      <c r="D133" s="5" t="s">
        <v>730</v>
      </c>
      <c r="E133" s="16" t="s">
        <v>859</v>
      </c>
      <c r="F133" s="16">
        <v>2</v>
      </c>
      <c r="G133" s="16">
        <v>0</v>
      </c>
      <c r="H133" s="16">
        <v>0</v>
      </c>
      <c r="I133" s="16" t="s">
        <v>15</v>
      </c>
      <c r="J133" s="17"/>
      <c r="K133" s="17"/>
      <c r="L133" s="17"/>
      <c r="M133" s="17"/>
      <c r="N133" s="17"/>
      <c r="O133" s="13"/>
      <c r="P133" s="13"/>
      <c r="Q133" s="13">
        <v>38</v>
      </c>
      <c r="R133" s="6">
        <v>11</v>
      </c>
      <c r="S133" s="7">
        <v>0.08</v>
      </c>
      <c r="T133" s="62">
        <v>33</v>
      </c>
      <c r="U133" s="16">
        <v>24.3</v>
      </c>
      <c r="V133" s="16"/>
      <c r="W133" s="16">
        <v>57</v>
      </c>
      <c r="X133" s="18">
        <v>57</v>
      </c>
      <c r="Y133" s="16">
        <f t="shared" si="29"/>
        <v>0</v>
      </c>
      <c r="Z133" s="16">
        <f t="shared" si="30"/>
        <v>24.3</v>
      </c>
      <c r="AA133" s="4">
        <v>0</v>
      </c>
      <c r="AB133" s="4">
        <v>0</v>
      </c>
      <c r="AC133" s="4">
        <v>0</v>
      </c>
      <c r="AD133" s="4">
        <v>0</v>
      </c>
      <c r="AE133" s="19">
        <v>0</v>
      </c>
      <c r="AF133" s="13">
        <f t="shared" si="31"/>
        <v>3</v>
      </c>
      <c r="AG133" s="20">
        <f t="shared" si="23"/>
        <v>46031</v>
      </c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21">
        <v>24.3</v>
      </c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>
        <f t="shared" si="24"/>
        <v>0</v>
      </c>
      <c r="BN133" s="22">
        <f t="shared" si="25"/>
        <v>24.3</v>
      </c>
      <c r="BO133" s="23" t="str">
        <f t="shared" si="26"/>
        <v>ok</v>
      </c>
      <c r="BP133" s="22">
        <f t="shared" si="27"/>
        <v>57</v>
      </c>
      <c r="BQ133" s="22" t="str">
        <f t="shared" si="28"/>
        <v>ok</v>
      </c>
      <c r="BR133" s="56"/>
    </row>
    <row r="134" spans="1:70" s="12" customFormat="1" ht="24.95" customHeight="1" x14ac:dyDescent="0.25">
      <c r="A134" s="4" t="s">
        <v>285</v>
      </c>
      <c r="B134" s="15" t="s">
        <v>286</v>
      </c>
      <c r="C134" s="5">
        <v>70008</v>
      </c>
      <c r="D134" s="5" t="s">
        <v>730</v>
      </c>
      <c r="E134" s="16" t="s">
        <v>860</v>
      </c>
      <c r="F134" s="16">
        <v>1</v>
      </c>
      <c r="G134" s="16">
        <v>0</v>
      </c>
      <c r="H134" s="16">
        <v>0</v>
      </c>
      <c r="I134" s="16" t="s">
        <v>15</v>
      </c>
      <c r="J134" s="17"/>
      <c r="K134" s="17"/>
      <c r="L134" s="17"/>
      <c r="M134" s="17"/>
      <c r="N134" s="17"/>
      <c r="O134" s="13"/>
      <c r="P134" s="13"/>
      <c r="Q134" s="13">
        <v>31</v>
      </c>
      <c r="R134" s="6">
        <v>49</v>
      </c>
      <c r="S134" s="7">
        <v>0.13</v>
      </c>
      <c r="T134" s="62">
        <v>33</v>
      </c>
      <c r="U134" s="16">
        <v>9</v>
      </c>
      <c r="V134" s="16"/>
      <c r="W134" s="16">
        <v>81</v>
      </c>
      <c r="X134" s="18">
        <v>81</v>
      </c>
      <c r="Y134" s="16">
        <f t="shared" si="29"/>
        <v>0</v>
      </c>
      <c r="Z134" s="16">
        <f t="shared" si="30"/>
        <v>9</v>
      </c>
      <c r="AA134" s="4">
        <v>0</v>
      </c>
      <c r="AB134" s="4">
        <v>0</v>
      </c>
      <c r="AC134" s="4">
        <v>0</v>
      </c>
      <c r="AD134" s="4">
        <v>0</v>
      </c>
      <c r="AE134" s="19">
        <v>0</v>
      </c>
      <c r="AF134" s="13">
        <f t="shared" si="31"/>
        <v>3</v>
      </c>
      <c r="AG134" s="20">
        <f t="shared" si="23"/>
        <v>46031</v>
      </c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21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>
        <v>9</v>
      </c>
      <c r="BG134" s="13"/>
      <c r="BH134" s="13"/>
      <c r="BI134" s="13"/>
      <c r="BJ134" s="13"/>
      <c r="BK134" s="13"/>
      <c r="BL134" s="13"/>
      <c r="BM134" s="13">
        <f t="shared" si="24"/>
        <v>0</v>
      </c>
      <c r="BN134" s="22">
        <f t="shared" si="25"/>
        <v>9</v>
      </c>
      <c r="BO134" s="23" t="str">
        <f t="shared" si="26"/>
        <v>ok</v>
      </c>
      <c r="BP134" s="22">
        <f t="shared" si="27"/>
        <v>81</v>
      </c>
      <c r="BQ134" s="22" t="str">
        <f t="shared" si="28"/>
        <v>ok</v>
      </c>
      <c r="BR134" s="56"/>
    </row>
    <row r="135" spans="1:70" s="12" customFormat="1" ht="24.95" customHeight="1" x14ac:dyDescent="0.25">
      <c r="A135" s="4" t="s">
        <v>287</v>
      </c>
      <c r="B135" s="15" t="s">
        <v>288</v>
      </c>
      <c r="C135" s="5">
        <v>70008</v>
      </c>
      <c r="D135" s="5" t="s">
        <v>730</v>
      </c>
      <c r="E135" s="16" t="s">
        <v>861</v>
      </c>
      <c r="F135" s="16">
        <v>2</v>
      </c>
      <c r="G135" s="16">
        <v>0</v>
      </c>
      <c r="H135" s="16">
        <v>0</v>
      </c>
      <c r="I135" s="16" t="s">
        <v>15</v>
      </c>
      <c r="J135" s="17"/>
      <c r="K135" s="17"/>
      <c r="L135" s="17"/>
      <c r="M135" s="17"/>
      <c r="N135" s="17"/>
      <c r="O135" s="13"/>
      <c r="P135" s="13"/>
      <c r="Q135" s="13">
        <v>35</v>
      </c>
      <c r="R135" s="6">
        <v>8</v>
      </c>
      <c r="S135" s="7">
        <v>0.13</v>
      </c>
      <c r="T135" s="62">
        <v>33</v>
      </c>
      <c r="U135" s="16">
        <v>9</v>
      </c>
      <c r="V135" s="16"/>
      <c r="W135" s="16">
        <v>69</v>
      </c>
      <c r="X135" s="18">
        <v>69</v>
      </c>
      <c r="Y135" s="16">
        <f t="shared" si="29"/>
        <v>0</v>
      </c>
      <c r="Z135" s="16">
        <f t="shared" si="30"/>
        <v>9</v>
      </c>
      <c r="AA135" s="4">
        <v>0</v>
      </c>
      <c r="AB135" s="4">
        <v>0</v>
      </c>
      <c r="AC135" s="4">
        <v>0</v>
      </c>
      <c r="AD135" s="4">
        <v>0</v>
      </c>
      <c r="AE135" s="19">
        <v>0</v>
      </c>
      <c r="AF135" s="13">
        <f t="shared" si="31"/>
        <v>3</v>
      </c>
      <c r="AG135" s="20">
        <f t="shared" si="23"/>
        <v>46031</v>
      </c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21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>
        <v>9</v>
      </c>
      <c r="BK135" s="13"/>
      <c r="BL135" s="13"/>
      <c r="BM135" s="13">
        <f t="shared" si="24"/>
        <v>0</v>
      </c>
      <c r="BN135" s="22">
        <f t="shared" si="25"/>
        <v>9</v>
      </c>
      <c r="BO135" s="23" t="str">
        <f t="shared" si="26"/>
        <v>ok</v>
      </c>
      <c r="BP135" s="22">
        <f t="shared" si="27"/>
        <v>69</v>
      </c>
      <c r="BQ135" s="22" t="str">
        <f t="shared" si="28"/>
        <v>ok</v>
      </c>
      <c r="BR135" s="56"/>
    </row>
    <row r="136" spans="1:70" s="12" customFormat="1" ht="24.95" customHeight="1" x14ac:dyDescent="0.25">
      <c r="A136" s="4" t="s">
        <v>289</v>
      </c>
      <c r="B136" s="15" t="s">
        <v>290</v>
      </c>
      <c r="C136" s="5">
        <v>70008</v>
      </c>
      <c r="D136" s="5" t="s">
        <v>730</v>
      </c>
      <c r="E136" s="16" t="s">
        <v>862</v>
      </c>
      <c r="F136" s="16">
        <v>1</v>
      </c>
      <c r="G136" s="16">
        <v>0</v>
      </c>
      <c r="H136" s="16">
        <v>0</v>
      </c>
      <c r="I136" s="16" t="s">
        <v>15</v>
      </c>
      <c r="J136" s="17"/>
      <c r="K136" s="17"/>
      <c r="L136" s="17"/>
      <c r="M136" s="17"/>
      <c r="N136" s="17"/>
      <c r="O136" s="13"/>
      <c r="P136" s="13"/>
      <c r="Q136" s="13">
        <v>56</v>
      </c>
      <c r="R136" s="6">
        <v>68</v>
      </c>
      <c r="S136" s="7">
        <v>0.13</v>
      </c>
      <c r="T136" s="62">
        <v>33</v>
      </c>
      <c r="U136" s="16">
        <v>9.9</v>
      </c>
      <c r="V136" s="16"/>
      <c r="W136" s="16">
        <v>60</v>
      </c>
      <c r="X136" s="18">
        <v>60</v>
      </c>
      <c r="Y136" s="16">
        <f t="shared" si="29"/>
        <v>0</v>
      </c>
      <c r="Z136" s="16">
        <f t="shared" si="30"/>
        <v>9.9</v>
      </c>
      <c r="AA136" s="4">
        <v>0</v>
      </c>
      <c r="AB136" s="4">
        <v>0</v>
      </c>
      <c r="AC136" s="4">
        <v>0</v>
      </c>
      <c r="AD136" s="4">
        <v>0</v>
      </c>
      <c r="AE136" s="19">
        <v>0</v>
      </c>
      <c r="AF136" s="13">
        <f t="shared" si="31"/>
        <v>3</v>
      </c>
      <c r="AG136" s="20">
        <f t="shared" si="23"/>
        <v>46031</v>
      </c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21"/>
      <c r="AW136" s="13"/>
      <c r="AX136" s="13"/>
      <c r="AY136" s="13"/>
      <c r="AZ136" s="13"/>
      <c r="BA136" s="13"/>
      <c r="BB136" s="13"/>
      <c r="BC136" s="13"/>
      <c r="BD136" s="13"/>
      <c r="BE136" s="13">
        <v>9.9</v>
      </c>
      <c r="BF136" s="13"/>
      <c r="BG136" s="13"/>
      <c r="BH136" s="13"/>
      <c r="BI136" s="13"/>
      <c r="BJ136" s="13"/>
      <c r="BK136" s="13"/>
      <c r="BL136" s="13"/>
      <c r="BM136" s="13">
        <f t="shared" si="24"/>
        <v>0</v>
      </c>
      <c r="BN136" s="22">
        <f t="shared" si="25"/>
        <v>9.9</v>
      </c>
      <c r="BO136" s="23" t="str">
        <f t="shared" si="26"/>
        <v>ok</v>
      </c>
      <c r="BP136" s="22">
        <f t="shared" si="27"/>
        <v>60</v>
      </c>
      <c r="BQ136" s="22" t="str">
        <f t="shared" si="28"/>
        <v>ok</v>
      </c>
      <c r="BR136" s="56"/>
    </row>
    <row r="137" spans="1:70" s="12" customFormat="1" ht="24.95" customHeight="1" x14ac:dyDescent="0.25">
      <c r="A137" s="4" t="s">
        <v>291</v>
      </c>
      <c r="B137" s="15" t="s">
        <v>292</v>
      </c>
      <c r="C137" s="5">
        <v>70008</v>
      </c>
      <c r="D137" s="5" t="s">
        <v>730</v>
      </c>
      <c r="E137" s="16" t="s">
        <v>863</v>
      </c>
      <c r="F137" s="16">
        <v>1</v>
      </c>
      <c r="G137" s="16">
        <v>0</v>
      </c>
      <c r="H137" s="16">
        <v>0</v>
      </c>
      <c r="I137" s="16" t="s">
        <v>15</v>
      </c>
      <c r="J137" s="17"/>
      <c r="K137" s="17"/>
      <c r="L137" s="17"/>
      <c r="M137" s="17"/>
      <c r="N137" s="17"/>
      <c r="O137" s="13"/>
      <c r="P137" s="13"/>
      <c r="Q137" s="13">
        <v>83</v>
      </c>
      <c r="R137" s="6">
        <v>49</v>
      </c>
      <c r="S137" s="7">
        <v>0.13</v>
      </c>
      <c r="T137" s="62">
        <v>33</v>
      </c>
      <c r="U137" s="16">
        <v>60.300000000000004</v>
      </c>
      <c r="V137" s="16"/>
      <c r="W137" s="16">
        <v>73.5</v>
      </c>
      <c r="X137" s="18">
        <v>73.5</v>
      </c>
      <c r="Y137" s="16">
        <f t="shared" si="29"/>
        <v>0</v>
      </c>
      <c r="Z137" s="16">
        <f t="shared" si="30"/>
        <v>60.3</v>
      </c>
      <c r="AA137" s="4">
        <v>0</v>
      </c>
      <c r="AB137" s="4">
        <v>0</v>
      </c>
      <c r="AC137" s="4">
        <v>0</v>
      </c>
      <c r="AD137" s="4">
        <v>0</v>
      </c>
      <c r="AE137" s="19">
        <v>0</v>
      </c>
      <c r="AF137" s="13">
        <f t="shared" si="31"/>
        <v>3</v>
      </c>
      <c r="AG137" s="20">
        <f t="shared" si="23"/>
        <v>46031</v>
      </c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>
        <v>33</v>
      </c>
      <c r="AS137" s="24"/>
      <c r="AT137" s="24">
        <v>27.3</v>
      </c>
      <c r="AU137" s="24"/>
      <c r="AV137" s="24"/>
      <c r="AW137" s="24"/>
      <c r="AX137" s="24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>
        <f t="shared" si="24"/>
        <v>7.1054273576010019E-15</v>
      </c>
      <c r="BN137" s="22">
        <f t="shared" si="25"/>
        <v>33</v>
      </c>
      <c r="BO137" s="23" t="str">
        <f t="shared" si="26"/>
        <v>ok</v>
      </c>
      <c r="BP137" s="22">
        <f t="shared" si="27"/>
        <v>73.5</v>
      </c>
      <c r="BQ137" s="22" t="str">
        <f t="shared" si="28"/>
        <v>ok</v>
      </c>
      <c r="BR137" s="56"/>
    </row>
    <row r="138" spans="1:70" s="12" customFormat="1" ht="24.95" customHeight="1" x14ac:dyDescent="0.25">
      <c r="A138" s="4" t="s">
        <v>293</v>
      </c>
      <c r="B138" s="15" t="s">
        <v>294</v>
      </c>
      <c r="C138" s="5">
        <v>70008</v>
      </c>
      <c r="D138" s="5" t="s">
        <v>730</v>
      </c>
      <c r="E138" s="16" t="s">
        <v>864</v>
      </c>
      <c r="F138" s="16">
        <v>2</v>
      </c>
      <c r="G138" s="16">
        <v>0</v>
      </c>
      <c r="H138" s="16">
        <v>0</v>
      </c>
      <c r="I138" s="16" t="s">
        <v>15</v>
      </c>
      <c r="J138" s="17"/>
      <c r="K138" s="17"/>
      <c r="L138" s="17"/>
      <c r="M138" s="17"/>
      <c r="N138" s="17"/>
      <c r="O138" s="13"/>
      <c r="P138" s="13"/>
      <c r="Q138" s="13">
        <v>51</v>
      </c>
      <c r="R138" s="6">
        <v>74</v>
      </c>
      <c r="S138" s="7">
        <v>0.13</v>
      </c>
      <c r="T138" s="62">
        <v>33</v>
      </c>
      <c r="U138" s="16">
        <v>33.300000000000004</v>
      </c>
      <c r="V138" s="16"/>
      <c r="W138" s="16">
        <v>55.5</v>
      </c>
      <c r="X138" s="18">
        <v>55.5</v>
      </c>
      <c r="Y138" s="16">
        <f t="shared" si="29"/>
        <v>-0.30000000000000426</v>
      </c>
      <c r="Z138" s="16">
        <f t="shared" si="30"/>
        <v>33</v>
      </c>
      <c r="AA138" s="4">
        <v>0</v>
      </c>
      <c r="AB138" s="4">
        <v>0</v>
      </c>
      <c r="AC138" s="4">
        <v>0</v>
      </c>
      <c r="AD138" s="4">
        <v>0</v>
      </c>
      <c r="AE138" s="19">
        <v>0</v>
      </c>
      <c r="AF138" s="13">
        <f t="shared" si="31"/>
        <v>3</v>
      </c>
      <c r="AG138" s="20">
        <f t="shared" si="23"/>
        <v>46031</v>
      </c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21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>
        <v>33</v>
      </c>
      <c r="BL138" s="13"/>
      <c r="BM138" s="13">
        <f t="shared" si="24"/>
        <v>33.300000000000004</v>
      </c>
      <c r="BN138" s="22">
        <f t="shared" si="25"/>
        <v>0</v>
      </c>
      <c r="BO138" s="23" t="str">
        <f t="shared" si="26"/>
        <v>ok</v>
      </c>
      <c r="BP138" s="22">
        <f t="shared" si="27"/>
        <v>55.5</v>
      </c>
      <c r="BQ138" s="22" t="str">
        <f t="shared" si="28"/>
        <v>ok</v>
      </c>
      <c r="BR138" s="56" t="s">
        <v>28</v>
      </c>
    </row>
    <row r="139" spans="1:70" s="12" customFormat="1" ht="24.95" customHeight="1" x14ac:dyDescent="0.25">
      <c r="A139" s="4" t="s">
        <v>295</v>
      </c>
      <c r="B139" s="15" t="s">
        <v>296</v>
      </c>
      <c r="C139" s="5">
        <v>70008</v>
      </c>
      <c r="D139" s="5" t="s">
        <v>730</v>
      </c>
      <c r="E139" s="16" t="s">
        <v>865</v>
      </c>
      <c r="F139" s="16">
        <v>2</v>
      </c>
      <c r="G139" s="16">
        <v>0</v>
      </c>
      <c r="H139" s="16">
        <v>0</v>
      </c>
      <c r="I139" s="16" t="s">
        <v>15</v>
      </c>
      <c r="J139" s="17"/>
      <c r="K139" s="17"/>
      <c r="L139" s="17"/>
      <c r="M139" s="17"/>
      <c r="N139" s="17"/>
      <c r="O139" s="13"/>
      <c r="P139" s="13"/>
      <c r="Q139" s="13">
        <v>43</v>
      </c>
      <c r="R139" s="6">
        <v>9</v>
      </c>
      <c r="S139" s="7">
        <v>0.13</v>
      </c>
      <c r="T139" s="62">
        <v>33</v>
      </c>
      <c r="U139" s="16">
        <v>81.900000000000006</v>
      </c>
      <c r="V139" s="16"/>
      <c r="W139" s="16">
        <v>70.5</v>
      </c>
      <c r="X139" s="18">
        <v>70.5</v>
      </c>
      <c r="Y139" s="16">
        <f t="shared" si="29"/>
        <v>0</v>
      </c>
      <c r="Z139" s="16">
        <f t="shared" si="30"/>
        <v>81.900000000000006</v>
      </c>
      <c r="AA139" s="4">
        <v>0</v>
      </c>
      <c r="AB139" s="4">
        <v>0</v>
      </c>
      <c r="AC139" s="4">
        <v>0</v>
      </c>
      <c r="AD139" s="4">
        <v>0</v>
      </c>
      <c r="AE139" s="19">
        <v>0</v>
      </c>
      <c r="AF139" s="13">
        <f t="shared" si="31"/>
        <v>3</v>
      </c>
      <c r="AG139" s="20">
        <f t="shared" si="23"/>
        <v>46031</v>
      </c>
      <c r="AH139" s="13"/>
      <c r="AI139" s="13"/>
      <c r="AJ139" s="13"/>
      <c r="AK139" s="13"/>
      <c r="AL139" s="13">
        <v>15.9</v>
      </c>
      <c r="AM139" s="13"/>
      <c r="AN139" s="13"/>
      <c r="AO139" s="13"/>
      <c r="AP139" s="13"/>
      <c r="AQ139" s="13"/>
      <c r="AR139" s="13"/>
      <c r="AS139" s="13"/>
      <c r="AT139" s="13"/>
      <c r="AU139" s="13"/>
      <c r="AV139" s="21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>
        <v>33</v>
      </c>
      <c r="BJ139" s="13">
        <v>33</v>
      </c>
      <c r="BK139" s="13"/>
      <c r="BL139" s="13"/>
      <c r="BM139" s="13">
        <f t="shared" si="24"/>
        <v>0</v>
      </c>
      <c r="BN139" s="22">
        <f t="shared" si="25"/>
        <v>33</v>
      </c>
      <c r="BO139" s="23" t="str">
        <f t="shared" si="26"/>
        <v>ok</v>
      </c>
      <c r="BP139" s="22">
        <f t="shared" si="27"/>
        <v>70.5</v>
      </c>
      <c r="BQ139" s="22" t="str">
        <f t="shared" si="28"/>
        <v>ok</v>
      </c>
      <c r="BR139" s="56"/>
    </row>
    <row r="140" spans="1:70" s="12" customFormat="1" ht="24.95" customHeight="1" x14ac:dyDescent="0.25">
      <c r="A140" s="4" t="s">
        <v>297</v>
      </c>
      <c r="B140" s="15" t="s">
        <v>298</v>
      </c>
      <c r="C140" s="5">
        <v>70008</v>
      </c>
      <c r="D140" s="5" t="s">
        <v>730</v>
      </c>
      <c r="E140" s="16" t="s">
        <v>866</v>
      </c>
      <c r="F140" s="16">
        <v>2</v>
      </c>
      <c r="G140" s="16">
        <v>0</v>
      </c>
      <c r="H140" s="16">
        <v>0</v>
      </c>
      <c r="I140" s="16" t="s">
        <v>15</v>
      </c>
      <c r="J140" s="17"/>
      <c r="K140" s="17"/>
      <c r="L140" s="17"/>
      <c r="M140" s="17"/>
      <c r="N140" s="17"/>
      <c r="O140" s="13"/>
      <c r="P140" s="13"/>
      <c r="Q140" s="13">
        <v>98</v>
      </c>
      <c r="R140" s="13">
        <v>94</v>
      </c>
      <c r="S140" s="7">
        <v>0.13</v>
      </c>
      <c r="T140" s="62">
        <v>33</v>
      </c>
      <c r="U140" s="16">
        <v>67.5</v>
      </c>
      <c r="V140" s="16"/>
      <c r="W140" s="16">
        <v>178.5</v>
      </c>
      <c r="X140" s="18">
        <v>178.5</v>
      </c>
      <c r="Y140" s="16">
        <f t="shared" si="29"/>
        <v>-1.5</v>
      </c>
      <c r="Z140" s="16">
        <f t="shared" si="30"/>
        <v>66</v>
      </c>
      <c r="AA140" s="4">
        <v>0</v>
      </c>
      <c r="AB140" s="4">
        <v>0</v>
      </c>
      <c r="AC140" s="4">
        <v>0</v>
      </c>
      <c r="AD140" s="4">
        <v>0</v>
      </c>
      <c r="AE140" s="19">
        <v>0</v>
      </c>
      <c r="AF140" s="13">
        <f t="shared" si="31"/>
        <v>3</v>
      </c>
      <c r="AG140" s="20">
        <f t="shared" si="23"/>
        <v>46031</v>
      </c>
      <c r="AH140" s="24"/>
      <c r="AI140" s="24">
        <v>33</v>
      </c>
      <c r="AJ140" s="24">
        <v>33</v>
      </c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>
        <f t="shared" si="24"/>
        <v>1.5</v>
      </c>
      <c r="BN140" s="22">
        <f t="shared" si="25"/>
        <v>33</v>
      </c>
      <c r="BO140" s="23" t="str">
        <f t="shared" si="26"/>
        <v>ok</v>
      </c>
      <c r="BP140" s="22">
        <f t="shared" si="27"/>
        <v>178.5</v>
      </c>
      <c r="BQ140" s="22" t="str">
        <f t="shared" si="28"/>
        <v>ok</v>
      </c>
      <c r="BR140" s="56" t="s">
        <v>28</v>
      </c>
    </row>
    <row r="141" spans="1:70" s="12" customFormat="1" ht="24.95" customHeight="1" x14ac:dyDescent="0.25">
      <c r="A141" s="4" t="s">
        <v>299</v>
      </c>
      <c r="B141" s="15" t="s">
        <v>300</v>
      </c>
      <c r="C141" s="5">
        <v>70008</v>
      </c>
      <c r="D141" s="5" t="s">
        <v>730</v>
      </c>
      <c r="E141" s="16" t="s">
        <v>867</v>
      </c>
      <c r="F141" s="16">
        <v>1</v>
      </c>
      <c r="G141" s="16">
        <v>0</v>
      </c>
      <c r="H141" s="16">
        <v>0</v>
      </c>
      <c r="I141" s="16" t="s">
        <v>15</v>
      </c>
      <c r="J141" s="17"/>
      <c r="K141" s="17"/>
      <c r="L141" s="17"/>
      <c r="M141" s="17"/>
      <c r="N141" s="17"/>
      <c r="O141" s="13"/>
      <c r="P141" s="13"/>
      <c r="Q141" s="13">
        <v>150</v>
      </c>
      <c r="R141" s="6">
        <v>128</v>
      </c>
      <c r="S141" s="7">
        <v>0.09</v>
      </c>
      <c r="T141" s="62">
        <v>33</v>
      </c>
      <c r="U141" s="16">
        <v>9.9</v>
      </c>
      <c r="V141" s="16"/>
      <c r="W141" s="16">
        <v>105</v>
      </c>
      <c r="X141" s="18">
        <v>105</v>
      </c>
      <c r="Y141" s="16">
        <f t="shared" si="29"/>
        <v>0</v>
      </c>
      <c r="Z141" s="16">
        <f t="shared" si="30"/>
        <v>9.9</v>
      </c>
      <c r="AA141" s="4">
        <v>0</v>
      </c>
      <c r="AB141" s="4">
        <v>0</v>
      </c>
      <c r="AC141" s="4">
        <v>0</v>
      </c>
      <c r="AD141" s="4">
        <v>0</v>
      </c>
      <c r="AE141" s="19">
        <v>0</v>
      </c>
      <c r="AF141" s="13">
        <f t="shared" si="31"/>
        <v>3</v>
      </c>
      <c r="AG141" s="20">
        <f t="shared" si="23"/>
        <v>46031</v>
      </c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21"/>
      <c r="AW141" s="13"/>
      <c r="AX141" s="13"/>
      <c r="AY141" s="13"/>
      <c r="AZ141" s="13"/>
      <c r="BA141" s="13"/>
      <c r="BB141" s="13"/>
      <c r="BC141" s="13">
        <v>9.9</v>
      </c>
      <c r="BD141" s="13"/>
      <c r="BE141" s="13"/>
      <c r="BF141" s="13"/>
      <c r="BG141" s="13"/>
      <c r="BH141" s="13"/>
      <c r="BI141" s="13"/>
      <c r="BJ141" s="13"/>
      <c r="BK141" s="13"/>
      <c r="BL141" s="13"/>
      <c r="BM141" s="13">
        <f t="shared" si="24"/>
        <v>0</v>
      </c>
      <c r="BN141" s="22">
        <f t="shared" si="25"/>
        <v>9.9</v>
      </c>
      <c r="BO141" s="23" t="str">
        <f t="shared" si="26"/>
        <v>ok</v>
      </c>
      <c r="BP141" s="22">
        <f t="shared" si="27"/>
        <v>105</v>
      </c>
      <c r="BQ141" s="22" t="str">
        <f t="shared" si="28"/>
        <v>ok</v>
      </c>
      <c r="BR141" s="56"/>
    </row>
    <row r="142" spans="1:70" s="12" customFormat="1" ht="24.95" customHeight="1" x14ac:dyDescent="0.25">
      <c r="A142" s="4" t="s">
        <v>301</v>
      </c>
      <c r="B142" s="15" t="s">
        <v>302</v>
      </c>
      <c r="C142" s="5">
        <v>70008</v>
      </c>
      <c r="D142" s="5" t="s">
        <v>730</v>
      </c>
      <c r="E142" s="16" t="s">
        <v>868</v>
      </c>
      <c r="F142" s="16">
        <v>2</v>
      </c>
      <c r="G142" s="16">
        <v>0</v>
      </c>
      <c r="H142" s="16">
        <v>0</v>
      </c>
      <c r="I142" s="16" t="s">
        <v>15</v>
      </c>
      <c r="J142" s="17"/>
      <c r="K142" s="17"/>
      <c r="L142" s="17"/>
      <c r="M142" s="17"/>
      <c r="N142" s="17"/>
      <c r="O142" s="13"/>
      <c r="P142" s="13"/>
      <c r="Q142" s="13">
        <v>93</v>
      </c>
      <c r="R142" s="6">
        <v>8</v>
      </c>
      <c r="S142" s="7">
        <v>0.13</v>
      </c>
      <c r="T142" s="62">
        <v>33</v>
      </c>
      <c r="U142" s="16">
        <v>84.600000000000009</v>
      </c>
      <c r="V142" s="16"/>
      <c r="W142" s="16">
        <v>99</v>
      </c>
      <c r="X142" s="18">
        <v>99</v>
      </c>
      <c r="Y142" s="16">
        <f t="shared" si="29"/>
        <v>0</v>
      </c>
      <c r="Z142" s="16">
        <f t="shared" si="30"/>
        <v>84.6</v>
      </c>
      <c r="AA142" s="4">
        <v>0</v>
      </c>
      <c r="AB142" s="4">
        <v>0</v>
      </c>
      <c r="AC142" s="4">
        <v>0</v>
      </c>
      <c r="AD142" s="4">
        <v>0</v>
      </c>
      <c r="AE142" s="19">
        <v>0</v>
      </c>
      <c r="AF142" s="13">
        <f t="shared" si="31"/>
        <v>3</v>
      </c>
      <c r="AG142" s="20">
        <f t="shared" si="23"/>
        <v>46031</v>
      </c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13"/>
      <c r="AZ142" s="13"/>
      <c r="BA142" s="13"/>
      <c r="BB142" s="13"/>
      <c r="BC142" s="13"/>
      <c r="BD142" s="13"/>
      <c r="BE142" s="13"/>
      <c r="BF142" s="13">
        <v>33</v>
      </c>
      <c r="BG142" s="13">
        <v>33</v>
      </c>
      <c r="BH142" s="13">
        <v>18.600000000000001</v>
      </c>
      <c r="BI142" s="13"/>
      <c r="BJ142" s="13"/>
      <c r="BK142" s="13"/>
      <c r="BL142" s="13"/>
      <c r="BM142" s="13">
        <f t="shared" si="24"/>
        <v>1.4210854715202004E-14</v>
      </c>
      <c r="BN142" s="22">
        <f t="shared" si="25"/>
        <v>33</v>
      </c>
      <c r="BO142" s="23" t="str">
        <f t="shared" si="26"/>
        <v>ok</v>
      </c>
      <c r="BP142" s="22">
        <f t="shared" si="27"/>
        <v>99</v>
      </c>
      <c r="BQ142" s="22" t="str">
        <f t="shared" si="28"/>
        <v>ok</v>
      </c>
      <c r="BR142" s="56"/>
    </row>
    <row r="143" spans="1:70" s="12" customFormat="1" ht="24.95" customHeight="1" x14ac:dyDescent="0.25">
      <c r="A143" s="4" t="s">
        <v>303</v>
      </c>
      <c r="B143" s="15" t="s">
        <v>304</v>
      </c>
      <c r="C143" s="5">
        <v>70008</v>
      </c>
      <c r="D143" s="5" t="s">
        <v>730</v>
      </c>
      <c r="E143" s="16" t="s">
        <v>869</v>
      </c>
      <c r="F143" s="16">
        <v>1</v>
      </c>
      <c r="G143" s="16">
        <v>0</v>
      </c>
      <c r="H143" s="16">
        <v>0</v>
      </c>
      <c r="I143" s="16" t="s">
        <v>15</v>
      </c>
      <c r="J143" s="17"/>
      <c r="K143" s="17"/>
      <c r="L143" s="17"/>
      <c r="M143" s="17"/>
      <c r="N143" s="17"/>
      <c r="O143" s="13"/>
      <c r="P143" s="13"/>
      <c r="Q143" s="13">
        <v>16</v>
      </c>
      <c r="R143" s="6">
        <v>86</v>
      </c>
      <c r="S143" s="7">
        <v>0.13</v>
      </c>
      <c r="T143" s="62">
        <v>33</v>
      </c>
      <c r="U143" s="16">
        <v>24.3</v>
      </c>
      <c r="V143" s="16"/>
      <c r="W143" s="16">
        <v>75</v>
      </c>
      <c r="X143" s="18">
        <v>75</v>
      </c>
      <c r="Y143" s="16">
        <f t="shared" si="29"/>
        <v>0</v>
      </c>
      <c r="Z143" s="16">
        <f t="shared" si="30"/>
        <v>24.3</v>
      </c>
      <c r="AA143" s="4">
        <v>0</v>
      </c>
      <c r="AB143" s="4">
        <v>0</v>
      </c>
      <c r="AC143" s="4">
        <v>0</v>
      </c>
      <c r="AD143" s="4">
        <v>0</v>
      </c>
      <c r="AE143" s="19">
        <v>0</v>
      </c>
      <c r="AF143" s="13">
        <f t="shared" si="31"/>
        <v>3</v>
      </c>
      <c r="AG143" s="20">
        <f t="shared" si="23"/>
        <v>46031</v>
      </c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21"/>
      <c r="AW143" s="13"/>
      <c r="AX143" s="13"/>
      <c r="AY143" s="13">
        <v>24.3</v>
      </c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>
        <f t="shared" si="24"/>
        <v>0</v>
      </c>
      <c r="BN143" s="22">
        <f t="shared" si="25"/>
        <v>24.3</v>
      </c>
      <c r="BO143" s="23" t="str">
        <f t="shared" si="26"/>
        <v>ok</v>
      </c>
      <c r="BP143" s="22">
        <f t="shared" si="27"/>
        <v>75</v>
      </c>
      <c r="BQ143" s="22" t="str">
        <f t="shared" si="28"/>
        <v>ok</v>
      </c>
      <c r="BR143" s="56"/>
    </row>
    <row r="144" spans="1:70" s="12" customFormat="1" ht="24.95" customHeight="1" x14ac:dyDescent="0.25">
      <c r="A144" s="4" t="s">
        <v>305</v>
      </c>
      <c r="B144" s="15" t="s">
        <v>306</v>
      </c>
      <c r="C144" s="5">
        <v>70008</v>
      </c>
      <c r="D144" s="5" t="s">
        <v>730</v>
      </c>
      <c r="E144" s="16" t="s">
        <v>870</v>
      </c>
      <c r="F144" s="16">
        <v>2</v>
      </c>
      <c r="G144" s="16">
        <v>0</v>
      </c>
      <c r="H144" s="16">
        <v>0</v>
      </c>
      <c r="I144" s="16" t="s">
        <v>15</v>
      </c>
      <c r="J144" s="17"/>
      <c r="K144" s="17"/>
      <c r="L144" s="17"/>
      <c r="M144" s="17"/>
      <c r="N144" s="17"/>
      <c r="O144" s="13"/>
      <c r="P144" s="13"/>
      <c r="Q144" s="13">
        <v>169</v>
      </c>
      <c r="R144" s="6">
        <v>71</v>
      </c>
      <c r="S144" s="7">
        <v>0.13</v>
      </c>
      <c r="T144" s="62">
        <v>33</v>
      </c>
      <c r="U144" s="16">
        <v>89.100000000000009</v>
      </c>
      <c r="V144" s="16"/>
      <c r="W144" s="16">
        <v>130.5</v>
      </c>
      <c r="X144" s="18">
        <v>130.5</v>
      </c>
      <c r="Y144" s="16">
        <f t="shared" si="29"/>
        <v>0</v>
      </c>
      <c r="Z144" s="16">
        <f t="shared" si="30"/>
        <v>89.1</v>
      </c>
      <c r="AA144" s="4">
        <v>0</v>
      </c>
      <c r="AB144" s="4">
        <v>0</v>
      </c>
      <c r="AC144" s="4">
        <v>0</v>
      </c>
      <c r="AD144" s="4">
        <v>0</v>
      </c>
      <c r="AE144" s="19">
        <v>0</v>
      </c>
      <c r="AF144" s="13">
        <f t="shared" si="31"/>
        <v>3</v>
      </c>
      <c r="AG144" s="20">
        <f t="shared" si="23"/>
        <v>46031</v>
      </c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>
        <v>33</v>
      </c>
      <c r="AU144" s="24">
        <v>33</v>
      </c>
      <c r="AV144" s="24">
        <v>23.1</v>
      </c>
      <c r="AW144" s="24"/>
      <c r="AX144" s="24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>
        <f t="shared" si="24"/>
        <v>1.4210854715202004E-14</v>
      </c>
      <c r="BN144" s="22">
        <f t="shared" si="25"/>
        <v>33</v>
      </c>
      <c r="BO144" s="23" t="str">
        <f t="shared" si="26"/>
        <v>ok</v>
      </c>
      <c r="BP144" s="22">
        <f t="shared" si="27"/>
        <v>130.5</v>
      </c>
      <c r="BQ144" s="22" t="str">
        <f t="shared" si="28"/>
        <v>ok</v>
      </c>
      <c r="BR144" s="56"/>
    </row>
    <row r="145" spans="1:70" s="12" customFormat="1" ht="24.95" customHeight="1" x14ac:dyDescent="0.25">
      <c r="A145" s="4" t="s">
        <v>307</v>
      </c>
      <c r="B145" s="15" t="s">
        <v>308</v>
      </c>
      <c r="C145" s="5">
        <v>70008</v>
      </c>
      <c r="D145" s="5" t="s">
        <v>730</v>
      </c>
      <c r="E145" s="16" t="s">
        <v>871</v>
      </c>
      <c r="F145" s="16">
        <v>2</v>
      </c>
      <c r="G145" s="16">
        <v>0</v>
      </c>
      <c r="H145" s="16">
        <v>0</v>
      </c>
      <c r="I145" s="16" t="s">
        <v>15</v>
      </c>
      <c r="J145" s="17"/>
      <c r="K145" s="17"/>
      <c r="L145" s="17"/>
      <c r="M145" s="17"/>
      <c r="N145" s="17"/>
      <c r="O145" s="13"/>
      <c r="P145" s="13"/>
      <c r="Q145" s="13">
        <v>139</v>
      </c>
      <c r="R145" s="6">
        <v>74</v>
      </c>
      <c r="S145" s="7">
        <v>0.13</v>
      </c>
      <c r="T145" s="62">
        <v>33</v>
      </c>
      <c r="U145" s="16">
        <v>63</v>
      </c>
      <c r="V145" s="16"/>
      <c r="W145" s="16">
        <v>219</v>
      </c>
      <c r="X145" s="18">
        <v>219</v>
      </c>
      <c r="Y145" s="16">
        <f t="shared" si="29"/>
        <v>0</v>
      </c>
      <c r="Z145" s="16">
        <f t="shared" si="30"/>
        <v>63</v>
      </c>
      <c r="AA145" s="4">
        <v>0</v>
      </c>
      <c r="AB145" s="4">
        <v>0</v>
      </c>
      <c r="AC145" s="4">
        <v>0</v>
      </c>
      <c r="AD145" s="4">
        <v>0</v>
      </c>
      <c r="AE145" s="19">
        <v>0</v>
      </c>
      <c r="AF145" s="13">
        <f t="shared" si="31"/>
        <v>3</v>
      </c>
      <c r="AG145" s="20">
        <f t="shared" ref="AG145:AG208" si="32">IF(AH$16="", "", MAX(AH$16, IF(AD145&gt;0, AD$16+AF145+1, IF(AC145&gt;0, AC$16+AF145+1, IF(AB145&gt;0, AB$16+AF145+1, IF(AA145&gt;0, AA$16+AF145+1, 0))))))</f>
        <v>46031</v>
      </c>
      <c r="AH145" s="24"/>
      <c r="AI145" s="24"/>
      <c r="AJ145" s="24"/>
      <c r="AK145" s="24"/>
      <c r="AL145" s="24"/>
      <c r="AM145" s="24"/>
      <c r="AN145" s="24"/>
      <c r="AO145" s="24">
        <v>33</v>
      </c>
      <c r="AP145" s="24"/>
      <c r="AQ145" s="24">
        <v>30</v>
      </c>
      <c r="AR145" s="24"/>
      <c r="AS145" s="24"/>
      <c r="AT145" s="24"/>
      <c r="AU145" s="24"/>
      <c r="AV145" s="24"/>
      <c r="AW145" s="24"/>
      <c r="AX145" s="24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>
        <f t="shared" ref="BM145:BM208" si="33">SUM(U145-(SUM(AH145:BJ145)))</f>
        <v>0</v>
      </c>
      <c r="BN145" s="22">
        <f t="shared" ref="BN145:BN208" si="34">MAX(AH145:BJ145)</f>
        <v>33</v>
      </c>
      <c r="BO145" s="23" t="str">
        <f t="shared" ref="BO145:BO208" si="35">IF(BN145&gt;W145+V145,"ver","ok")</f>
        <v>ok</v>
      </c>
      <c r="BP145" s="22">
        <f t="shared" ref="BP145:BP208" si="36">V145+W145</f>
        <v>219</v>
      </c>
      <c r="BQ145" s="22" t="str">
        <f t="shared" ref="BQ145:BQ208" si="37">IF(BN145&gt;BP145,BN145,"ok")</f>
        <v>ok</v>
      </c>
      <c r="BR145" s="56"/>
    </row>
    <row r="146" spans="1:70" s="12" customFormat="1" ht="24.95" customHeight="1" x14ac:dyDescent="0.25">
      <c r="A146" s="4" t="s">
        <v>309</v>
      </c>
      <c r="B146" s="15" t="s">
        <v>310</v>
      </c>
      <c r="C146" s="5">
        <v>70008</v>
      </c>
      <c r="D146" s="5" t="s">
        <v>730</v>
      </c>
      <c r="E146" s="16" t="s">
        <v>872</v>
      </c>
      <c r="F146" s="16">
        <v>4</v>
      </c>
      <c r="G146" s="16">
        <v>0</v>
      </c>
      <c r="H146" s="16">
        <v>0</v>
      </c>
      <c r="I146" s="16" t="s">
        <v>15</v>
      </c>
      <c r="J146" s="17"/>
      <c r="K146" s="17"/>
      <c r="L146" s="17"/>
      <c r="M146" s="17"/>
      <c r="N146" s="17"/>
      <c r="O146" s="13"/>
      <c r="P146" s="13"/>
      <c r="Q146" s="13">
        <v>56</v>
      </c>
      <c r="R146" s="6">
        <v>10</v>
      </c>
      <c r="S146" s="7">
        <v>0.13</v>
      </c>
      <c r="T146" s="62">
        <v>33</v>
      </c>
      <c r="U146" s="16">
        <v>10.8</v>
      </c>
      <c r="V146" s="16"/>
      <c r="W146" s="16">
        <v>135</v>
      </c>
      <c r="X146" s="18">
        <v>135</v>
      </c>
      <c r="Y146" s="16">
        <f t="shared" ref="Y146:Y209" si="38">Z146-U146</f>
        <v>0</v>
      </c>
      <c r="Z146" s="16">
        <f t="shared" ref="Z146:Z209" si="39">SUM(AH146:BL146)</f>
        <v>10.8</v>
      </c>
      <c r="AA146" s="4">
        <v>0</v>
      </c>
      <c r="AB146" s="4">
        <v>12</v>
      </c>
      <c r="AC146" s="4">
        <v>0</v>
      </c>
      <c r="AD146" s="4">
        <v>0</v>
      </c>
      <c r="AE146" s="19">
        <v>12</v>
      </c>
      <c r="AF146" s="13">
        <f t="shared" ref="AF146:AF209" si="40">IF(I146="Máquina",IF(COUNTIF(D146,"*cat02*"),4,IF(COUNTIF(D146,"*cat01*"),3,IF(COUNTIF(D146,"*cat04*"),2,IF(COUNTIF(D146,"*cat03*"),5,2)))),IF(COUNTIF(D146,"*cat02*"),3,IF(COUNTIF(D146,"*cat01*"),2,IF(COUNTIF(D146,"*cat04*"),2,IF(COUNTIF(D146,"*cat03*"),5,2)))))</f>
        <v>3</v>
      </c>
      <c r="AG146" s="20">
        <f t="shared" si="32"/>
        <v>46032</v>
      </c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13"/>
      <c r="AZ146" s="13">
        <v>10.8</v>
      </c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>
        <f t="shared" si="33"/>
        <v>0</v>
      </c>
      <c r="BN146" s="22">
        <f t="shared" si="34"/>
        <v>10.8</v>
      </c>
      <c r="BO146" s="23" t="str">
        <f t="shared" si="35"/>
        <v>ok</v>
      </c>
      <c r="BP146" s="22">
        <f t="shared" si="36"/>
        <v>135</v>
      </c>
      <c r="BQ146" s="22" t="str">
        <f t="shared" si="37"/>
        <v>ok</v>
      </c>
      <c r="BR146" s="56"/>
    </row>
    <row r="147" spans="1:70" s="12" customFormat="1" ht="24.95" customHeight="1" x14ac:dyDescent="0.25">
      <c r="A147" s="4" t="s">
        <v>311</v>
      </c>
      <c r="B147" s="15" t="s">
        <v>312</v>
      </c>
      <c r="C147" s="5">
        <v>70008</v>
      </c>
      <c r="D147" s="5" t="s">
        <v>730</v>
      </c>
      <c r="E147" s="16" t="s">
        <v>873</v>
      </c>
      <c r="F147" s="16">
        <v>1</v>
      </c>
      <c r="G147" s="16">
        <v>0</v>
      </c>
      <c r="H147" s="16">
        <v>0</v>
      </c>
      <c r="I147" s="16" t="s">
        <v>15</v>
      </c>
      <c r="J147" s="17"/>
      <c r="K147" s="17"/>
      <c r="L147" s="17"/>
      <c r="M147" s="17"/>
      <c r="N147" s="17"/>
      <c r="O147" s="13"/>
      <c r="P147" s="13"/>
      <c r="Q147" s="13">
        <v>11</v>
      </c>
      <c r="R147" s="6">
        <v>86</v>
      </c>
      <c r="S147" s="7">
        <v>0.13</v>
      </c>
      <c r="T147" s="62">
        <v>33</v>
      </c>
      <c r="U147" s="16">
        <v>121.5</v>
      </c>
      <c r="V147" s="16"/>
      <c r="W147" s="16">
        <v>111</v>
      </c>
      <c r="X147" s="18">
        <v>111</v>
      </c>
      <c r="Y147" s="16">
        <f t="shared" si="38"/>
        <v>0</v>
      </c>
      <c r="Z147" s="16">
        <f t="shared" si="39"/>
        <v>121.5</v>
      </c>
      <c r="AA147" s="4">
        <v>0</v>
      </c>
      <c r="AB147" s="4">
        <v>0</v>
      </c>
      <c r="AC147" s="4">
        <v>0</v>
      </c>
      <c r="AD147" s="4">
        <v>0</v>
      </c>
      <c r="AE147" s="19">
        <v>0</v>
      </c>
      <c r="AF147" s="13">
        <f t="shared" si="40"/>
        <v>3</v>
      </c>
      <c r="AG147" s="20">
        <f t="shared" si="32"/>
        <v>46031</v>
      </c>
      <c r="AH147" s="13">
        <v>33</v>
      </c>
      <c r="AI147" s="13">
        <v>33</v>
      </c>
      <c r="AJ147" s="13">
        <v>33</v>
      </c>
      <c r="AK147" s="13">
        <v>12</v>
      </c>
      <c r="AL147" s="13">
        <v>10.5</v>
      </c>
      <c r="AM147" s="13"/>
      <c r="AN147" s="13"/>
      <c r="AO147" s="13"/>
      <c r="AP147" s="13"/>
      <c r="AQ147" s="13"/>
      <c r="AR147" s="13"/>
      <c r="AS147" s="13"/>
      <c r="AT147" s="13"/>
      <c r="AU147" s="13"/>
      <c r="AV147" s="21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>
        <f t="shared" si="33"/>
        <v>0</v>
      </c>
      <c r="BN147" s="22">
        <f t="shared" si="34"/>
        <v>33</v>
      </c>
      <c r="BO147" s="23" t="str">
        <f t="shared" si="35"/>
        <v>ok</v>
      </c>
      <c r="BP147" s="22">
        <f t="shared" si="36"/>
        <v>111</v>
      </c>
      <c r="BQ147" s="22" t="str">
        <f t="shared" si="37"/>
        <v>ok</v>
      </c>
      <c r="BR147" s="56"/>
    </row>
    <row r="148" spans="1:70" s="12" customFormat="1" ht="24.95" customHeight="1" x14ac:dyDescent="0.25">
      <c r="A148" s="4" t="s">
        <v>313</v>
      </c>
      <c r="B148" s="15" t="s">
        <v>314</v>
      </c>
      <c r="C148" s="5">
        <v>70008</v>
      </c>
      <c r="D148" s="5" t="s">
        <v>730</v>
      </c>
      <c r="E148" s="16" t="s">
        <v>874</v>
      </c>
      <c r="F148" s="16">
        <v>1</v>
      </c>
      <c r="G148" s="16">
        <v>0</v>
      </c>
      <c r="H148" s="16">
        <v>0</v>
      </c>
      <c r="I148" s="16" t="s">
        <v>15</v>
      </c>
      <c r="J148" s="17"/>
      <c r="K148" s="17"/>
      <c r="L148" s="17"/>
      <c r="M148" s="17"/>
      <c r="N148" s="17"/>
      <c r="O148" s="13"/>
      <c r="P148" s="13"/>
      <c r="Q148" s="13">
        <v>23</v>
      </c>
      <c r="R148" s="6">
        <v>34</v>
      </c>
      <c r="S148" s="7">
        <v>0.13</v>
      </c>
      <c r="T148" s="62">
        <v>33</v>
      </c>
      <c r="U148" s="16">
        <v>14.4</v>
      </c>
      <c r="V148" s="16"/>
      <c r="W148" s="16">
        <v>148.5</v>
      </c>
      <c r="X148" s="18">
        <v>148.5</v>
      </c>
      <c r="Y148" s="16">
        <f t="shared" si="38"/>
        <v>0</v>
      </c>
      <c r="Z148" s="16">
        <f t="shared" si="39"/>
        <v>14.4</v>
      </c>
      <c r="AA148" s="4">
        <v>0</v>
      </c>
      <c r="AB148" s="4">
        <v>0</v>
      </c>
      <c r="AC148" s="4">
        <v>0</v>
      </c>
      <c r="AD148" s="4">
        <v>10</v>
      </c>
      <c r="AE148" s="19">
        <v>10</v>
      </c>
      <c r="AF148" s="13">
        <f t="shared" si="40"/>
        <v>3</v>
      </c>
      <c r="AG148" s="20">
        <f t="shared" si="32"/>
        <v>46034</v>
      </c>
      <c r="AH148" s="13"/>
      <c r="AI148" s="13"/>
      <c r="AJ148" s="13"/>
      <c r="AK148" s="13"/>
      <c r="AL148" s="13"/>
      <c r="AM148" s="13"/>
      <c r="AN148" s="13"/>
      <c r="AO148" s="13">
        <v>14.4</v>
      </c>
      <c r="AP148" s="13"/>
      <c r="AQ148" s="13"/>
      <c r="AR148" s="13"/>
      <c r="AS148" s="13"/>
      <c r="AT148" s="13"/>
      <c r="AU148" s="13"/>
      <c r="AV148" s="21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>
        <f t="shared" si="33"/>
        <v>0</v>
      </c>
      <c r="BN148" s="22">
        <f t="shared" si="34"/>
        <v>14.4</v>
      </c>
      <c r="BO148" s="23" t="str">
        <f t="shared" si="35"/>
        <v>ok</v>
      </c>
      <c r="BP148" s="22">
        <f t="shared" si="36"/>
        <v>148.5</v>
      </c>
      <c r="BQ148" s="22" t="str">
        <f t="shared" si="37"/>
        <v>ok</v>
      </c>
      <c r="BR148" s="56"/>
    </row>
    <row r="149" spans="1:70" s="12" customFormat="1" ht="24.95" customHeight="1" x14ac:dyDescent="0.25">
      <c r="A149" s="4" t="s">
        <v>315</v>
      </c>
      <c r="B149" s="15" t="s">
        <v>316</v>
      </c>
      <c r="C149" s="5">
        <v>70008</v>
      </c>
      <c r="D149" s="5" t="s">
        <v>730</v>
      </c>
      <c r="E149" s="16" t="s">
        <v>875</v>
      </c>
      <c r="F149" s="16">
        <v>1</v>
      </c>
      <c r="G149" s="16">
        <v>0</v>
      </c>
      <c r="H149" s="16">
        <v>0</v>
      </c>
      <c r="I149" s="16" t="s">
        <v>15</v>
      </c>
      <c r="J149" s="17"/>
      <c r="K149" s="17"/>
      <c r="L149" s="17"/>
      <c r="M149" s="17"/>
      <c r="N149" s="17"/>
      <c r="O149" s="13"/>
      <c r="P149" s="13"/>
      <c r="Q149" s="13">
        <v>94</v>
      </c>
      <c r="R149" s="6">
        <v>38</v>
      </c>
      <c r="S149" s="7">
        <v>0.13</v>
      </c>
      <c r="T149" s="62">
        <v>33</v>
      </c>
      <c r="U149" s="16">
        <v>9.9</v>
      </c>
      <c r="V149" s="16"/>
      <c r="W149" s="16">
        <v>79.5</v>
      </c>
      <c r="X149" s="18">
        <v>79.5</v>
      </c>
      <c r="Y149" s="16">
        <f t="shared" si="38"/>
        <v>0</v>
      </c>
      <c r="Z149" s="16">
        <f t="shared" si="39"/>
        <v>9.9</v>
      </c>
      <c r="AA149" s="4">
        <v>0</v>
      </c>
      <c r="AB149" s="4">
        <v>0</v>
      </c>
      <c r="AC149" s="4">
        <v>0</v>
      </c>
      <c r="AD149" s="4">
        <v>0</v>
      </c>
      <c r="AE149" s="19">
        <v>0</v>
      </c>
      <c r="AF149" s="13">
        <f t="shared" si="40"/>
        <v>3</v>
      </c>
      <c r="AG149" s="20">
        <f t="shared" si="32"/>
        <v>46031</v>
      </c>
      <c r="AH149" s="24">
        <v>9.9</v>
      </c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>
        <f t="shared" si="33"/>
        <v>0</v>
      </c>
      <c r="BN149" s="22">
        <f t="shared" si="34"/>
        <v>9.9</v>
      </c>
      <c r="BO149" s="23" t="str">
        <f t="shared" si="35"/>
        <v>ok</v>
      </c>
      <c r="BP149" s="22">
        <f t="shared" si="36"/>
        <v>79.5</v>
      </c>
      <c r="BQ149" s="22" t="str">
        <f t="shared" si="37"/>
        <v>ok</v>
      </c>
      <c r="BR149" s="56"/>
    </row>
    <row r="150" spans="1:70" s="12" customFormat="1" ht="24.95" customHeight="1" x14ac:dyDescent="0.25">
      <c r="A150" s="4" t="s">
        <v>317</v>
      </c>
      <c r="B150" s="15" t="s">
        <v>318</v>
      </c>
      <c r="C150" s="5">
        <v>70008</v>
      </c>
      <c r="D150" s="5" t="s">
        <v>730</v>
      </c>
      <c r="E150" s="16" t="s">
        <v>876</v>
      </c>
      <c r="F150" s="16">
        <v>2</v>
      </c>
      <c r="G150" s="16">
        <v>0</v>
      </c>
      <c r="H150" s="16">
        <v>0</v>
      </c>
      <c r="I150" s="16" t="s">
        <v>15</v>
      </c>
      <c r="J150" s="17"/>
      <c r="K150" s="17"/>
      <c r="L150" s="17"/>
      <c r="M150" s="17"/>
      <c r="N150" s="17"/>
      <c r="O150" s="13"/>
      <c r="P150" s="13"/>
      <c r="Q150" s="13">
        <v>23</v>
      </c>
      <c r="R150" s="6">
        <v>74</v>
      </c>
      <c r="S150" s="7">
        <v>0.13</v>
      </c>
      <c r="T150" s="62">
        <v>33</v>
      </c>
      <c r="U150" s="16">
        <v>121.5</v>
      </c>
      <c r="V150" s="16"/>
      <c r="W150" s="16">
        <v>148.5</v>
      </c>
      <c r="X150" s="18">
        <v>148.5</v>
      </c>
      <c r="Y150" s="16">
        <f t="shared" si="38"/>
        <v>0</v>
      </c>
      <c r="Z150" s="16">
        <f t="shared" si="39"/>
        <v>121.5</v>
      </c>
      <c r="AA150" s="4">
        <v>10</v>
      </c>
      <c r="AB150" s="4">
        <v>0</v>
      </c>
      <c r="AC150" s="4">
        <v>0</v>
      </c>
      <c r="AD150" s="4">
        <v>0</v>
      </c>
      <c r="AE150" s="19">
        <v>10</v>
      </c>
      <c r="AF150" s="13">
        <f t="shared" si="40"/>
        <v>3</v>
      </c>
      <c r="AG150" s="20">
        <f t="shared" si="32"/>
        <v>46031</v>
      </c>
      <c r="AH150" s="24"/>
      <c r="AI150" s="24"/>
      <c r="AJ150" s="24"/>
      <c r="AK150" s="24"/>
      <c r="AL150" s="24"/>
      <c r="AM150" s="24">
        <v>33</v>
      </c>
      <c r="AN150" s="24">
        <v>33</v>
      </c>
      <c r="AO150" s="24">
        <v>33</v>
      </c>
      <c r="AP150" s="24">
        <v>22.5</v>
      </c>
      <c r="AQ150" s="24"/>
      <c r="AR150" s="24"/>
      <c r="AS150" s="24"/>
      <c r="AT150" s="24"/>
      <c r="AU150" s="24"/>
      <c r="AV150" s="24"/>
      <c r="AW150" s="24"/>
      <c r="AX150" s="24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>
        <f t="shared" si="33"/>
        <v>0</v>
      </c>
      <c r="BN150" s="22">
        <f t="shared" si="34"/>
        <v>33</v>
      </c>
      <c r="BO150" s="23" t="str">
        <f t="shared" si="35"/>
        <v>ok</v>
      </c>
      <c r="BP150" s="22">
        <f t="shared" si="36"/>
        <v>148.5</v>
      </c>
      <c r="BQ150" s="22" t="str">
        <f t="shared" si="37"/>
        <v>ok</v>
      </c>
      <c r="BR150" s="56"/>
    </row>
    <row r="151" spans="1:70" s="12" customFormat="1" ht="24.95" customHeight="1" x14ac:dyDescent="0.25">
      <c r="A151" s="4" t="s">
        <v>319</v>
      </c>
      <c r="B151" s="15" t="s">
        <v>320</v>
      </c>
      <c r="C151" s="5">
        <v>70008</v>
      </c>
      <c r="D151" s="5" t="s">
        <v>730</v>
      </c>
      <c r="E151" s="16" t="s">
        <v>877</v>
      </c>
      <c r="F151" s="16">
        <v>2</v>
      </c>
      <c r="G151" s="16">
        <v>0</v>
      </c>
      <c r="H151" s="16">
        <v>0</v>
      </c>
      <c r="I151" s="16" t="s">
        <v>15</v>
      </c>
      <c r="J151" s="17"/>
      <c r="K151" s="17"/>
      <c r="L151" s="17"/>
      <c r="M151" s="17"/>
      <c r="N151" s="17"/>
      <c r="O151" s="13"/>
      <c r="P151" s="13"/>
      <c r="Q151" s="13">
        <v>11</v>
      </c>
      <c r="R151" s="6">
        <v>49</v>
      </c>
      <c r="S151" s="7">
        <v>0.13</v>
      </c>
      <c r="T151" s="62">
        <v>33</v>
      </c>
      <c r="U151" s="16">
        <v>65.7</v>
      </c>
      <c r="V151" s="16"/>
      <c r="W151" s="16">
        <v>168</v>
      </c>
      <c r="X151" s="18">
        <v>168</v>
      </c>
      <c r="Y151" s="16">
        <f t="shared" si="38"/>
        <v>0</v>
      </c>
      <c r="Z151" s="16">
        <f t="shared" si="39"/>
        <v>65.7</v>
      </c>
      <c r="AA151" s="4">
        <v>0</v>
      </c>
      <c r="AB151" s="4">
        <v>0</v>
      </c>
      <c r="AC151" s="4">
        <v>0</v>
      </c>
      <c r="AD151" s="4">
        <v>0</v>
      </c>
      <c r="AE151" s="19">
        <v>0</v>
      </c>
      <c r="AF151" s="13">
        <f t="shared" si="40"/>
        <v>3</v>
      </c>
      <c r="AG151" s="20">
        <f t="shared" si="32"/>
        <v>46031</v>
      </c>
      <c r="AH151" s="13"/>
      <c r="AI151" s="13"/>
      <c r="AJ151" s="13"/>
      <c r="AK151" s="13"/>
      <c r="AL151" s="13"/>
      <c r="AM151" s="13">
        <v>33</v>
      </c>
      <c r="AN151" s="13">
        <v>32.700000000000003</v>
      </c>
      <c r="AO151" s="13"/>
      <c r="AP151" s="13"/>
      <c r="AQ151" s="13"/>
      <c r="AR151" s="13"/>
      <c r="AS151" s="30"/>
      <c r="AT151" s="13"/>
      <c r="AU151" s="13"/>
      <c r="AV151" s="21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>
        <f t="shared" si="33"/>
        <v>0</v>
      </c>
      <c r="BN151" s="22">
        <f t="shared" si="34"/>
        <v>33</v>
      </c>
      <c r="BO151" s="23" t="str">
        <f t="shared" si="35"/>
        <v>ok</v>
      </c>
      <c r="BP151" s="22">
        <f t="shared" si="36"/>
        <v>168</v>
      </c>
      <c r="BQ151" s="22" t="str">
        <f t="shared" si="37"/>
        <v>ok</v>
      </c>
      <c r="BR151" s="56"/>
    </row>
    <row r="152" spans="1:70" s="12" customFormat="1" ht="24.95" customHeight="1" x14ac:dyDescent="0.25">
      <c r="A152" s="4" t="s">
        <v>321</v>
      </c>
      <c r="B152" s="15" t="s">
        <v>322</v>
      </c>
      <c r="C152" s="5">
        <v>70008</v>
      </c>
      <c r="D152" s="5" t="s">
        <v>730</v>
      </c>
      <c r="E152" s="16" t="s">
        <v>878</v>
      </c>
      <c r="F152" s="16">
        <v>2</v>
      </c>
      <c r="G152" s="16">
        <v>0</v>
      </c>
      <c r="H152" s="16">
        <v>0</v>
      </c>
      <c r="I152" s="16" t="s">
        <v>15</v>
      </c>
      <c r="J152" s="17"/>
      <c r="K152" s="17"/>
      <c r="L152" s="17"/>
      <c r="M152" s="17"/>
      <c r="N152" s="17"/>
      <c r="O152" s="13"/>
      <c r="P152" s="13"/>
      <c r="Q152" s="13">
        <v>13</v>
      </c>
      <c r="R152" s="6">
        <v>10</v>
      </c>
      <c r="S152" s="7">
        <v>0.13</v>
      </c>
      <c r="T152" s="62">
        <v>33</v>
      </c>
      <c r="U152" s="16">
        <v>9.9</v>
      </c>
      <c r="V152" s="16"/>
      <c r="W152" s="16">
        <v>97.5</v>
      </c>
      <c r="X152" s="18">
        <v>97.5</v>
      </c>
      <c r="Y152" s="16">
        <f t="shared" si="38"/>
        <v>0</v>
      </c>
      <c r="Z152" s="16">
        <f t="shared" si="39"/>
        <v>9.9</v>
      </c>
      <c r="AA152" s="4">
        <v>0</v>
      </c>
      <c r="AB152" s="4">
        <v>0</v>
      </c>
      <c r="AC152" s="4">
        <v>0</v>
      </c>
      <c r="AD152" s="4">
        <v>0</v>
      </c>
      <c r="AE152" s="19">
        <v>0</v>
      </c>
      <c r="AF152" s="13">
        <f t="shared" si="40"/>
        <v>3</v>
      </c>
      <c r="AG152" s="20">
        <f t="shared" si="32"/>
        <v>46031</v>
      </c>
      <c r="AH152" s="24"/>
      <c r="AI152" s="24"/>
      <c r="AJ152" s="24"/>
      <c r="AK152" s="24"/>
      <c r="AL152" s="24"/>
      <c r="AM152" s="24"/>
      <c r="AN152" s="24"/>
      <c r="AO152" s="24"/>
      <c r="AP152" s="24">
        <v>9.9</v>
      </c>
      <c r="AQ152" s="24"/>
      <c r="AR152" s="24"/>
      <c r="AS152" s="24"/>
      <c r="AT152" s="24"/>
      <c r="AU152" s="24"/>
      <c r="AV152" s="24"/>
      <c r="AW152" s="24"/>
      <c r="AX152" s="24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>
        <f t="shared" si="33"/>
        <v>0</v>
      </c>
      <c r="BN152" s="22">
        <f t="shared" si="34"/>
        <v>9.9</v>
      </c>
      <c r="BO152" s="23" t="str">
        <f t="shared" si="35"/>
        <v>ok</v>
      </c>
      <c r="BP152" s="22">
        <f t="shared" si="36"/>
        <v>97.5</v>
      </c>
      <c r="BQ152" s="22" t="str">
        <f t="shared" si="37"/>
        <v>ok</v>
      </c>
      <c r="BR152" s="56"/>
    </row>
    <row r="153" spans="1:70" s="12" customFormat="1" ht="24.95" customHeight="1" x14ac:dyDescent="0.25">
      <c r="A153" s="4" t="s">
        <v>323</v>
      </c>
      <c r="B153" s="15" t="s">
        <v>324</v>
      </c>
      <c r="C153" s="5">
        <v>70008</v>
      </c>
      <c r="D153" s="5" t="s">
        <v>730</v>
      </c>
      <c r="E153" s="16" t="s">
        <v>879</v>
      </c>
      <c r="F153" s="16">
        <v>1</v>
      </c>
      <c r="G153" s="16">
        <v>0</v>
      </c>
      <c r="H153" s="16">
        <v>0</v>
      </c>
      <c r="I153" s="16" t="s">
        <v>15</v>
      </c>
      <c r="J153" s="17"/>
      <c r="K153" s="17"/>
      <c r="L153" s="17"/>
      <c r="M153" s="17"/>
      <c r="N153" s="17"/>
      <c r="O153" s="13"/>
      <c r="P153" s="13"/>
      <c r="Q153" s="13">
        <v>32</v>
      </c>
      <c r="R153" s="6">
        <v>9</v>
      </c>
      <c r="S153" s="7">
        <v>0.13</v>
      </c>
      <c r="T153" s="62">
        <v>33</v>
      </c>
      <c r="U153" s="16">
        <v>54</v>
      </c>
      <c r="V153" s="16"/>
      <c r="W153" s="16">
        <v>30</v>
      </c>
      <c r="X153" s="18">
        <v>30</v>
      </c>
      <c r="Y153" s="16">
        <f t="shared" si="38"/>
        <v>0</v>
      </c>
      <c r="Z153" s="16">
        <f t="shared" si="39"/>
        <v>54</v>
      </c>
      <c r="AA153" s="4">
        <v>0</v>
      </c>
      <c r="AB153" s="4">
        <v>0</v>
      </c>
      <c r="AC153" s="4">
        <v>0</v>
      </c>
      <c r="AD153" s="4">
        <v>0</v>
      </c>
      <c r="AE153" s="19">
        <v>0</v>
      </c>
      <c r="AF153" s="13">
        <f t="shared" si="40"/>
        <v>3</v>
      </c>
      <c r="AG153" s="20">
        <f t="shared" si="32"/>
        <v>46031</v>
      </c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>
        <v>30</v>
      </c>
      <c r="AX153" s="24"/>
      <c r="AY153" s="13"/>
      <c r="AZ153" s="13"/>
      <c r="BA153" s="13">
        <v>24</v>
      </c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>
        <f t="shared" si="33"/>
        <v>0</v>
      </c>
      <c r="BN153" s="22">
        <f t="shared" si="34"/>
        <v>30</v>
      </c>
      <c r="BO153" s="23" t="str">
        <f t="shared" si="35"/>
        <v>ok</v>
      </c>
      <c r="BP153" s="22">
        <f t="shared" si="36"/>
        <v>30</v>
      </c>
      <c r="BQ153" s="22" t="str">
        <f t="shared" si="37"/>
        <v>ok</v>
      </c>
      <c r="BR153" s="56"/>
    </row>
    <row r="154" spans="1:70" s="12" customFormat="1" ht="24.95" customHeight="1" x14ac:dyDescent="0.25">
      <c r="A154" s="4" t="s">
        <v>325</v>
      </c>
      <c r="B154" s="15" t="s">
        <v>326</v>
      </c>
      <c r="C154" s="5">
        <v>70008</v>
      </c>
      <c r="D154" s="5" t="s">
        <v>730</v>
      </c>
      <c r="E154" s="16" t="s">
        <v>880</v>
      </c>
      <c r="F154" s="16">
        <v>1</v>
      </c>
      <c r="G154" s="16">
        <v>0</v>
      </c>
      <c r="H154" s="16">
        <v>0</v>
      </c>
      <c r="I154" s="16" t="s">
        <v>15</v>
      </c>
      <c r="J154" s="17"/>
      <c r="K154" s="17"/>
      <c r="L154" s="17"/>
      <c r="M154" s="17"/>
      <c r="N154" s="17"/>
      <c r="O154" s="13"/>
      <c r="P154" s="13"/>
      <c r="Q154" s="13">
        <v>28</v>
      </c>
      <c r="R154" s="6">
        <v>9</v>
      </c>
      <c r="S154" s="7">
        <v>0.13</v>
      </c>
      <c r="T154" s="62">
        <v>33</v>
      </c>
      <c r="U154" s="16">
        <v>10.8</v>
      </c>
      <c r="V154" s="16"/>
      <c r="W154" s="16">
        <v>67.5</v>
      </c>
      <c r="X154" s="18">
        <v>67.5</v>
      </c>
      <c r="Y154" s="16">
        <f t="shared" si="38"/>
        <v>0</v>
      </c>
      <c r="Z154" s="16">
        <f t="shared" si="39"/>
        <v>10.8</v>
      </c>
      <c r="AA154" s="4">
        <v>0</v>
      </c>
      <c r="AB154" s="4">
        <v>0</v>
      </c>
      <c r="AC154" s="4">
        <v>0</v>
      </c>
      <c r="AD154" s="4">
        <v>0</v>
      </c>
      <c r="AE154" s="19">
        <v>0</v>
      </c>
      <c r="AF154" s="13">
        <f t="shared" si="40"/>
        <v>3</v>
      </c>
      <c r="AG154" s="20">
        <f t="shared" si="32"/>
        <v>46031</v>
      </c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>
        <v>10.8</v>
      </c>
      <c r="AV154" s="24"/>
      <c r="AW154" s="24"/>
      <c r="AX154" s="24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>
        <f t="shared" si="33"/>
        <v>0</v>
      </c>
      <c r="BN154" s="22">
        <f t="shared" si="34"/>
        <v>10.8</v>
      </c>
      <c r="BO154" s="23" t="str">
        <f t="shared" si="35"/>
        <v>ok</v>
      </c>
      <c r="BP154" s="22">
        <f t="shared" si="36"/>
        <v>67.5</v>
      </c>
      <c r="BQ154" s="22" t="str">
        <f t="shared" si="37"/>
        <v>ok</v>
      </c>
      <c r="BR154" s="56"/>
    </row>
    <row r="155" spans="1:70" s="12" customFormat="1" ht="24.95" customHeight="1" x14ac:dyDescent="0.25">
      <c r="A155" s="4" t="s">
        <v>327</v>
      </c>
      <c r="B155" s="15" t="s">
        <v>328</v>
      </c>
      <c r="C155" s="5">
        <v>70008</v>
      </c>
      <c r="D155" s="5" t="s">
        <v>730</v>
      </c>
      <c r="E155" s="16" t="s">
        <v>881</v>
      </c>
      <c r="F155" s="16">
        <v>2</v>
      </c>
      <c r="G155" s="16">
        <v>0</v>
      </c>
      <c r="H155" s="16">
        <v>0</v>
      </c>
      <c r="I155" s="16" t="s">
        <v>15</v>
      </c>
      <c r="J155" s="17"/>
      <c r="K155" s="17"/>
      <c r="L155" s="17"/>
      <c r="M155" s="17"/>
      <c r="N155" s="17"/>
      <c r="O155" s="13"/>
      <c r="P155" s="13"/>
      <c r="Q155" s="13">
        <v>17</v>
      </c>
      <c r="R155" s="6">
        <v>10</v>
      </c>
      <c r="S155" s="7">
        <v>0.13</v>
      </c>
      <c r="T155" s="62">
        <v>33</v>
      </c>
      <c r="U155" s="16">
        <v>33.300000000000004</v>
      </c>
      <c r="V155" s="16"/>
      <c r="W155" s="16">
        <v>144</v>
      </c>
      <c r="X155" s="18">
        <v>144</v>
      </c>
      <c r="Y155" s="16">
        <f t="shared" si="38"/>
        <v>-0.30000000000000426</v>
      </c>
      <c r="Z155" s="16">
        <f t="shared" si="39"/>
        <v>33</v>
      </c>
      <c r="AA155" s="4">
        <v>0</v>
      </c>
      <c r="AB155" s="4">
        <v>0</v>
      </c>
      <c r="AC155" s="4">
        <v>0</v>
      </c>
      <c r="AD155" s="4">
        <v>0</v>
      </c>
      <c r="AE155" s="19">
        <v>0</v>
      </c>
      <c r="AF155" s="13">
        <f t="shared" si="40"/>
        <v>3</v>
      </c>
      <c r="AG155" s="20">
        <f t="shared" si="32"/>
        <v>46031</v>
      </c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>
        <v>33</v>
      </c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>
        <f t="shared" si="33"/>
        <v>0.30000000000000426</v>
      </c>
      <c r="BN155" s="22">
        <f t="shared" si="34"/>
        <v>33</v>
      </c>
      <c r="BO155" s="23" t="str">
        <f t="shared" si="35"/>
        <v>ok</v>
      </c>
      <c r="BP155" s="22">
        <f t="shared" si="36"/>
        <v>144</v>
      </c>
      <c r="BQ155" s="22" t="str">
        <f t="shared" si="37"/>
        <v>ok</v>
      </c>
      <c r="BR155" s="56" t="s">
        <v>28</v>
      </c>
    </row>
    <row r="156" spans="1:70" s="12" customFormat="1" ht="24.95" customHeight="1" x14ac:dyDescent="0.25">
      <c r="A156" s="4" t="s">
        <v>329</v>
      </c>
      <c r="B156" s="15" t="s">
        <v>330</v>
      </c>
      <c r="C156" s="5">
        <v>70008</v>
      </c>
      <c r="D156" s="5" t="s">
        <v>730</v>
      </c>
      <c r="E156" s="16" t="s">
        <v>882</v>
      </c>
      <c r="F156" s="16">
        <v>2</v>
      </c>
      <c r="G156" s="16">
        <v>0</v>
      </c>
      <c r="H156" s="16">
        <v>0</v>
      </c>
      <c r="I156" s="16" t="s">
        <v>15</v>
      </c>
      <c r="J156" s="17"/>
      <c r="K156" s="17"/>
      <c r="L156" s="17"/>
      <c r="M156" s="17"/>
      <c r="N156" s="17"/>
      <c r="O156" s="13"/>
      <c r="P156" s="13"/>
      <c r="Q156" s="13">
        <v>46</v>
      </c>
      <c r="R156" s="6">
        <v>9</v>
      </c>
      <c r="S156" s="7">
        <v>0.13</v>
      </c>
      <c r="T156" s="62">
        <v>33</v>
      </c>
      <c r="U156" s="16">
        <v>33.300000000000004</v>
      </c>
      <c r="V156" s="16"/>
      <c r="W156" s="16">
        <v>129</v>
      </c>
      <c r="X156" s="18">
        <v>129</v>
      </c>
      <c r="Y156" s="16">
        <f t="shared" si="38"/>
        <v>-0.30000000000000426</v>
      </c>
      <c r="Z156" s="16">
        <f t="shared" si="39"/>
        <v>33</v>
      </c>
      <c r="AA156" s="4">
        <v>32</v>
      </c>
      <c r="AB156" s="4">
        <v>0</v>
      </c>
      <c r="AC156" s="4">
        <v>0</v>
      </c>
      <c r="AD156" s="4">
        <v>0</v>
      </c>
      <c r="AE156" s="19">
        <v>32</v>
      </c>
      <c r="AF156" s="13">
        <f t="shared" si="40"/>
        <v>3</v>
      </c>
      <c r="AG156" s="20">
        <f t="shared" si="32"/>
        <v>46031</v>
      </c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21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>
        <v>33</v>
      </c>
      <c r="BI156" s="13"/>
      <c r="BJ156" s="13"/>
      <c r="BK156" s="13"/>
      <c r="BL156" s="13"/>
      <c r="BM156" s="13">
        <f t="shared" si="33"/>
        <v>0.30000000000000426</v>
      </c>
      <c r="BN156" s="22">
        <f t="shared" si="34"/>
        <v>33</v>
      </c>
      <c r="BO156" s="23" t="str">
        <f t="shared" si="35"/>
        <v>ok</v>
      </c>
      <c r="BP156" s="22">
        <f t="shared" si="36"/>
        <v>129</v>
      </c>
      <c r="BQ156" s="22" t="str">
        <f t="shared" si="37"/>
        <v>ok</v>
      </c>
      <c r="BR156" s="56" t="s">
        <v>28</v>
      </c>
    </row>
    <row r="157" spans="1:70" s="12" customFormat="1" ht="24.95" customHeight="1" x14ac:dyDescent="0.25">
      <c r="A157" s="4" t="s">
        <v>331</v>
      </c>
      <c r="B157" s="15" t="s">
        <v>332</v>
      </c>
      <c r="C157" s="5">
        <v>70008</v>
      </c>
      <c r="D157" s="5" t="s">
        <v>730</v>
      </c>
      <c r="E157" s="16" t="s">
        <v>883</v>
      </c>
      <c r="F157" s="16">
        <v>1</v>
      </c>
      <c r="G157" s="16">
        <v>0</v>
      </c>
      <c r="H157" s="16">
        <v>0</v>
      </c>
      <c r="I157" s="16" t="s">
        <v>15</v>
      </c>
      <c r="J157" s="17"/>
      <c r="K157" s="17"/>
      <c r="L157" s="17"/>
      <c r="M157" s="17"/>
      <c r="N157" s="17"/>
      <c r="O157" s="13"/>
      <c r="P157" s="13"/>
      <c r="Q157" s="13">
        <v>98</v>
      </c>
      <c r="R157" s="6">
        <v>9</v>
      </c>
      <c r="S157" s="7">
        <v>0.13</v>
      </c>
      <c r="T157" s="62">
        <v>33</v>
      </c>
      <c r="U157" s="16">
        <v>9.9</v>
      </c>
      <c r="V157" s="16"/>
      <c r="W157" s="16">
        <v>48</v>
      </c>
      <c r="X157" s="18">
        <v>48</v>
      </c>
      <c r="Y157" s="16">
        <f t="shared" si="38"/>
        <v>0</v>
      </c>
      <c r="Z157" s="16">
        <f t="shared" si="39"/>
        <v>9.9</v>
      </c>
      <c r="AA157" s="4">
        <v>0</v>
      </c>
      <c r="AB157" s="4">
        <v>0</v>
      </c>
      <c r="AC157" s="4">
        <v>0</v>
      </c>
      <c r="AD157" s="4">
        <v>0</v>
      </c>
      <c r="AE157" s="19">
        <v>0</v>
      </c>
      <c r="AF157" s="13">
        <f t="shared" si="40"/>
        <v>3</v>
      </c>
      <c r="AG157" s="20">
        <f t="shared" si="32"/>
        <v>46031</v>
      </c>
      <c r="AH157" s="13"/>
      <c r="AI157" s="13">
        <v>9.9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21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>
        <f t="shared" si="33"/>
        <v>0</v>
      </c>
      <c r="BN157" s="22">
        <f t="shared" si="34"/>
        <v>9.9</v>
      </c>
      <c r="BO157" s="23" t="str">
        <f t="shared" si="35"/>
        <v>ok</v>
      </c>
      <c r="BP157" s="22">
        <f t="shared" si="36"/>
        <v>48</v>
      </c>
      <c r="BQ157" s="22" t="str">
        <f t="shared" si="37"/>
        <v>ok</v>
      </c>
      <c r="BR157" s="56"/>
    </row>
    <row r="158" spans="1:70" s="12" customFormat="1" ht="24.95" customHeight="1" x14ac:dyDescent="0.25">
      <c r="A158" s="4" t="s">
        <v>333</v>
      </c>
      <c r="B158" s="15" t="s">
        <v>334</v>
      </c>
      <c r="C158" s="5">
        <v>70008</v>
      </c>
      <c r="D158" s="5" t="s">
        <v>730</v>
      </c>
      <c r="E158" s="16" t="s">
        <v>884</v>
      </c>
      <c r="F158" s="16">
        <v>2</v>
      </c>
      <c r="G158" s="16">
        <v>0</v>
      </c>
      <c r="H158" s="16">
        <v>0</v>
      </c>
      <c r="I158" s="16" t="s">
        <v>15</v>
      </c>
      <c r="J158" s="17"/>
      <c r="K158" s="17"/>
      <c r="L158" s="17"/>
      <c r="M158" s="17"/>
      <c r="N158" s="17"/>
      <c r="O158" s="13"/>
      <c r="P158" s="13"/>
      <c r="Q158" s="13">
        <v>22</v>
      </c>
      <c r="R158" s="6">
        <v>9</v>
      </c>
      <c r="S158" s="7">
        <v>0.13</v>
      </c>
      <c r="T158" s="62">
        <v>33</v>
      </c>
      <c r="U158" s="16">
        <v>9</v>
      </c>
      <c r="V158" s="16"/>
      <c r="W158" s="16">
        <v>46.5</v>
      </c>
      <c r="X158" s="18">
        <v>46.5</v>
      </c>
      <c r="Y158" s="16">
        <f t="shared" si="38"/>
        <v>0</v>
      </c>
      <c r="Z158" s="16">
        <f t="shared" si="39"/>
        <v>9</v>
      </c>
      <c r="AA158" s="4">
        <v>0</v>
      </c>
      <c r="AB158" s="4">
        <v>0</v>
      </c>
      <c r="AC158" s="4">
        <v>0</v>
      </c>
      <c r="AD158" s="4">
        <v>0</v>
      </c>
      <c r="AE158" s="19">
        <v>0</v>
      </c>
      <c r="AF158" s="13">
        <f t="shared" si="40"/>
        <v>3</v>
      </c>
      <c r="AG158" s="20">
        <f t="shared" si="32"/>
        <v>46031</v>
      </c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>
        <v>9</v>
      </c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>
        <f t="shared" si="33"/>
        <v>0</v>
      </c>
      <c r="BN158" s="22">
        <f t="shared" si="34"/>
        <v>9</v>
      </c>
      <c r="BO158" s="23" t="str">
        <f t="shared" si="35"/>
        <v>ok</v>
      </c>
      <c r="BP158" s="22">
        <f t="shared" si="36"/>
        <v>46.5</v>
      </c>
      <c r="BQ158" s="22" t="str">
        <f t="shared" si="37"/>
        <v>ok</v>
      </c>
      <c r="BR158" s="56"/>
    </row>
    <row r="159" spans="1:70" s="12" customFormat="1" ht="24.95" customHeight="1" x14ac:dyDescent="0.25">
      <c r="A159" s="4" t="s">
        <v>335</v>
      </c>
      <c r="B159" s="15" t="s">
        <v>336</v>
      </c>
      <c r="C159" s="5">
        <v>70008</v>
      </c>
      <c r="D159" s="5" t="s">
        <v>730</v>
      </c>
      <c r="E159" s="16" t="s">
        <v>885</v>
      </c>
      <c r="F159" s="16">
        <v>2</v>
      </c>
      <c r="G159" s="16">
        <v>0</v>
      </c>
      <c r="H159" s="16">
        <v>0</v>
      </c>
      <c r="I159" s="16" t="s">
        <v>15</v>
      </c>
      <c r="J159" s="17"/>
      <c r="K159" s="17"/>
      <c r="L159" s="17"/>
      <c r="M159" s="17"/>
      <c r="N159" s="17"/>
      <c r="O159" s="13"/>
      <c r="P159" s="13"/>
      <c r="Q159" s="13">
        <v>17</v>
      </c>
      <c r="R159" s="6">
        <v>9</v>
      </c>
      <c r="S159" s="7">
        <v>0.13</v>
      </c>
      <c r="T159" s="62">
        <v>33</v>
      </c>
      <c r="U159" s="16">
        <v>24.3</v>
      </c>
      <c r="V159" s="16"/>
      <c r="W159" s="16">
        <v>88.5</v>
      </c>
      <c r="X159" s="18">
        <v>88.5</v>
      </c>
      <c r="Y159" s="16">
        <f t="shared" si="38"/>
        <v>0</v>
      </c>
      <c r="Z159" s="16">
        <f t="shared" si="39"/>
        <v>24.3</v>
      </c>
      <c r="AA159" s="4">
        <v>0</v>
      </c>
      <c r="AB159" s="4">
        <v>0</v>
      </c>
      <c r="AC159" s="4">
        <v>0</v>
      </c>
      <c r="AD159" s="4">
        <v>0</v>
      </c>
      <c r="AE159" s="19">
        <v>0</v>
      </c>
      <c r="AF159" s="13">
        <f t="shared" si="40"/>
        <v>3</v>
      </c>
      <c r="AG159" s="20">
        <f t="shared" si="32"/>
        <v>46031</v>
      </c>
      <c r="AH159" s="13"/>
      <c r="AI159" s="13"/>
      <c r="AJ159" s="13"/>
      <c r="AK159" s="13"/>
      <c r="AL159" s="13">
        <v>24.3</v>
      </c>
      <c r="AM159" s="13"/>
      <c r="AN159" s="13"/>
      <c r="AO159" s="13"/>
      <c r="AP159" s="13"/>
      <c r="AQ159" s="13"/>
      <c r="AR159" s="13"/>
      <c r="AS159" s="13"/>
      <c r="AT159" s="13"/>
      <c r="AU159" s="13"/>
      <c r="AV159" s="21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>
        <f t="shared" si="33"/>
        <v>0</v>
      </c>
      <c r="BN159" s="22">
        <f t="shared" si="34"/>
        <v>24.3</v>
      </c>
      <c r="BO159" s="23" t="str">
        <f t="shared" si="35"/>
        <v>ok</v>
      </c>
      <c r="BP159" s="22">
        <f t="shared" si="36"/>
        <v>88.5</v>
      </c>
      <c r="BQ159" s="22" t="str">
        <f t="shared" si="37"/>
        <v>ok</v>
      </c>
      <c r="BR159" s="56"/>
    </row>
    <row r="160" spans="1:70" s="12" customFormat="1" ht="24.95" customHeight="1" x14ac:dyDescent="0.25">
      <c r="A160" s="4" t="s">
        <v>337</v>
      </c>
      <c r="B160" s="15" t="s">
        <v>338</v>
      </c>
      <c r="C160" s="5">
        <v>70008</v>
      </c>
      <c r="D160" s="5" t="s">
        <v>730</v>
      </c>
      <c r="E160" s="16" t="s">
        <v>886</v>
      </c>
      <c r="F160" s="16">
        <v>3</v>
      </c>
      <c r="G160" s="16">
        <v>0</v>
      </c>
      <c r="H160" s="16">
        <v>0</v>
      </c>
      <c r="I160" s="16" t="s">
        <v>15</v>
      </c>
      <c r="J160" s="17"/>
      <c r="K160" s="17"/>
      <c r="L160" s="17"/>
      <c r="M160" s="17"/>
      <c r="N160" s="17"/>
      <c r="O160" s="13"/>
      <c r="P160" s="13"/>
      <c r="Q160" s="13">
        <v>36</v>
      </c>
      <c r="R160" s="6">
        <v>9</v>
      </c>
      <c r="S160" s="7">
        <v>0.13</v>
      </c>
      <c r="T160" s="62">
        <v>33</v>
      </c>
      <c r="U160" s="16">
        <v>36</v>
      </c>
      <c r="V160" s="16"/>
      <c r="W160" s="16">
        <v>90</v>
      </c>
      <c r="X160" s="18">
        <v>90</v>
      </c>
      <c r="Y160" s="16">
        <f t="shared" si="38"/>
        <v>-3</v>
      </c>
      <c r="Z160" s="16">
        <f t="shared" si="39"/>
        <v>33</v>
      </c>
      <c r="AA160" s="4">
        <v>0</v>
      </c>
      <c r="AB160" s="4">
        <v>0</v>
      </c>
      <c r="AC160" s="4">
        <v>0</v>
      </c>
      <c r="AD160" s="4">
        <v>0</v>
      </c>
      <c r="AE160" s="19">
        <v>0</v>
      </c>
      <c r="AF160" s="13">
        <f t="shared" si="40"/>
        <v>3</v>
      </c>
      <c r="AG160" s="20">
        <f t="shared" si="32"/>
        <v>46031</v>
      </c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>
        <v>33</v>
      </c>
      <c r="BG160" s="13"/>
      <c r="BH160" s="13"/>
      <c r="BI160" s="13"/>
      <c r="BJ160" s="13"/>
      <c r="BK160" s="13"/>
      <c r="BL160" s="13"/>
      <c r="BM160" s="13">
        <f t="shared" si="33"/>
        <v>3</v>
      </c>
      <c r="BN160" s="22">
        <f t="shared" si="34"/>
        <v>33</v>
      </c>
      <c r="BO160" s="23" t="str">
        <f t="shared" si="35"/>
        <v>ok</v>
      </c>
      <c r="BP160" s="22">
        <f t="shared" si="36"/>
        <v>90</v>
      </c>
      <c r="BQ160" s="22" t="str">
        <f t="shared" si="37"/>
        <v>ok</v>
      </c>
      <c r="BR160" s="56" t="s">
        <v>28</v>
      </c>
    </row>
    <row r="161" spans="1:70" s="12" customFormat="1" ht="24.95" customHeight="1" x14ac:dyDescent="0.25">
      <c r="A161" s="4" t="s">
        <v>339</v>
      </c>
      <c r="B161" s="15" t="s">
        <v>340</v>
      </c>
      <c r="C161" s="5">
        <v>70008</v>
      </c>
      <c r="D161" s="5" t="s">
        <v>730</v>
      </c>
      <c r="E161" s="16" t="s">
        <v>887</v>
      </c>
      <c r="F161" s="16">
        <v>2</v>
      </c>
      <c r="G161" s="16">
        <v>0</v>
      </c>
      <c r="H161" s="16">
        <v>0</v>
      </c>
      <c r="I161" s="16" t="s">
        <v>15</v>
      </c>
      <c r="J161" s="17"/>
      <c r="K161" s="17"/>
      <c r="L161" s="17"/>
      <c r="M161" s="17"/>
      <c r="N161" s="17"/>
      <c r="O161" s="13"/>
      <c r="P161" s="13"/>
      <c r="Q161" s="13">
        <v>24</v>
      </c>
      <c r="R161" s="6">
        <v>9</v>
      </c>
      <c r="S161" s="7">
        <v>0.13</v>
      </c>
      <c r="T161" s="62">
        <v>33</v>
      </c>
      <c r="U161" s="16">
        <v>26.1</v>
      </c>
      <c r="V161" s="16"/>
      <c r="W161" s="16">
        <v>114</v>
      </c>
      <c r="X161" s="18">
        <v>114</v>
      </c>
      <c r="Y161" s="16">
        <f t="shared" si="38"/>
        <v>0</v>
      </c>
      <c r="Z161" s="16">
        <f t="shared" si="39"/>
        <v>26.1</v>
      </c>
      <c r="AA161" s="4">
        <v>0</v>
      </c>
      <c r="AB161" s="4">
        <v>0</v>
      </c>
      <c r="AC161" s="4">
        <v>0</v>
      </c>
      <c r="AD161" s="4">
        <v>0</v>
      </c>
      <c r="AE161" s="19">
        <v>0</v>
      </c>
      <c r="AF161" s="13">
        <f t="shared" si="40"/>
        <v>3</v>
      </c>
      <c r="AG161" s="20">
        <f t="shared" si="32"/>
        <v>46031</v>
      </c>
      <c r="AH161" s="24"/>
      <c r="AI161" s="24"/>
      <c r="AJ161" s="24"/>
      <c r="AK161" s="24"/>
      <c r="AL161" s="24"/>
      <c r="AM161" s="24"/>
      <c r="AN161" s="24"/>
      <c r="AO161" s="24"/>
      <c r="AP161" s="24">
        <v>26.1</v>
      </c>
      <c r="AQ161" s="24"/>
      <c r="AR161" s="24"/>
      <c r="AS161" s="24"/>
      <c r="AT161" s="24"/>
      <c r="AU161" s="24"/>
      <c r="AV161" s="24"/>
      <c r="AW161" s="24"/>
      <c r="AX161" s="24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>
        <f t="shared" si="33"/>
        <v>0</v>
      </c>
      <c r="BN161" s="22">
        <f t="shared" si="34"/>
        <v>26.1</v>
      </c>
      <c r="BO161" s="23" t="str">
        <f t="shared" si="35"/>
        <v>ok</v>
      </c>
      <c r="BP161" s="22">
        <f t="shared" si="36"/>
        <v>114</v>
      </c>
      <c r="BQ161" s="22" t="str">
        <f t="shared" si="37"/>
        <v>ok</v>
      </c>
      <c r="BR161" s="56"/>
    </row>
    <row r="162" spans="1:70" s="12" customFormat="1" ht="24.95" customHeight="1" x14ac:dyDescent="0.25">
      <c r="A162" s="4" t="s">
        <v>341</v>
      </c>
      <c r="B162" s="15" t="s">
        <v>342</v>
      </c>
      <c r="C162" s="5">
        <v>70008</v>
      </c>
      <c r="D162" s="5" t="s">
        <v>730</v>
      </c>
      <c r="E162" s="16" t="s">
        <v>888</v>
      </c>
      <c r="F162" s="16">
        <v>1</v>
      </c>
      <c r="G162" s="16">
        <v>0</v>
      </c>
      <c r="H162" s="16">
        <v>0</v>
      </c>
      <c r="I162" s="16" t="s">
        <v>15</v>
      </c>
      <c r="J162" s="17"/>
      <c r="K162" s="17"/>
      <c r="L162" s="17"/>
      <c r="M162" s="17"/>
      <c r="N162" s="17"/>
      <c r="O162" s="13"/>
      <c r="P162" s="13"/>
      <c r="Q162" s="13">
        <v>15</v>
      </c>
      <c r="R162" s="6">
        <v>109</v>
      </c>
      <c r="S162" s="7">
        <v>0.13</v>
      </c>
      <c r="T162" s="62">
        <v>33</v>
      </c>
      <c r="U162" s="16">
        <v>9</v>
      </c>
      <c r="V162" s="16"/>
      <c r="W162" s="16">
        <v>40.5</v>
      </c>
      <c r="X162" s="18">
        <v>40.5</v>
      </c>
      <c r="Y162" s="16">
        <f t="shared" si="38"/>
        <v>0</v>
      </c>
      <c r="Z162" s="16">
        <f t="shared" si="39"/>
        <v>9</v>
      </c>
      <c r="AA162" s="4">
        <v>0</v>
      </c>
      <c r="AB162" s="4">
        <v>0</v>
      </c>
      <c r="AC162" s="4">
        <v>0</v>
      </c>
      <c r="AD162" s="4">
        <v>0</v>
      </c>
      <c r="AE162" s="19">
        <v>0</v>
      </c>
      <c r="AF162" s="13">
        <f t="shared" si="40"/>
        <v>3</v>
      </c>
      <c r="AG162" s="20">
        <f t="shared" si="32"/>
        <v>46031</v>
      </c>
      <c r="AH162" s="13"/>
      <c r="AI162" s="13"/>
      <c r="AJ162" s="13"/>
      <c r="AK162" s="13"/>
      <c r="AL162" s="13">
        <v>9</v>
      </c>
      <c r="AM162" s="13"/>
      <c r="AN162" s="13"/>
      <c r="AO162" s="13"/>
      <c r="AP162" s="13"/>
      <c r="AQ162" s="13"/>
      <c r="AR162" s="13"/>
      <c r="AS162" s="13"/>
      <c r="AT162" s="13"/>
      <c r="AU162" s="13"/>
      <c r="AV162" s="21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>
        <f t="shared" si="33"/>
        <v>0</v>
      </c>
      <c r="BN162" s="22">
        <f t="shared" si="34"/>
        <v>9</v>
      </c>
      <c r="BO162" s="23" t="str">
        <f t="shared" si="35"/>
        <v>ok</v>
      </c>
      <c r="BP162" s="22">
        <f t="shared" si="36"/>
        <v>40.5</v>
      </c>
      <c r="BQ162" s="22" t="str">
        <f t="shared" si="37"/>
        <v>ok</v>
      </c>
      <c r="BR162" s="56"/>
    </row>
    <row r="163" spans="1:70" s="12" customFormat="1" ht="24.95" customHeight="1" x14ac:dyDescent="0.25">
      <c r="A163" s="4" t="s">
        <v>343</v>
      </c>
      <c r="B163" s="15" t="s">
        <v>344</v>
      </c>
      <c r="C163" s="5">
        <v>70008</v>
      </c>
      <c r="D163" s="5" t="s">
        <v>730</v>
      </c>
      <c r="E163" s="16" t="s">
        <v>889</v>
      </c>
      <c r="F163" s="16">
        <v>1</v>
      </c>
      <c r="G163" s="16">
        <v>0</v>
      </c>
      <c r="H163" s="16">
        <v>0</v>
      </c>
      <c r="I163" s="16" t="s">
        <v>15</v>
      </c>
      <c r="J163" s="17"/>
      <c r="K163" s="17"/>
      <c r="L163" s="17"/>
      <c r="M163" s="17"/>
      <c r="N163" s="17"/>
      <c r="O163" s="13"/>
      <c r="P163" s="13"/>
      <c r="Q163" s="13">
        <v>16</v>
      </c>
      <c r="R163" s="6">
        <v>14</v>
      </c>
      <c r="S163" s="7">
        <v>0.13</v>
      </c>
      <c r="T163" s="62">
        <v>33</v>
      </c>
      <c r="U163" s="16">
        <v>9</v>
      </c>
      <c r="V163" s="16"/>
      <c r="W163" s="16">
        <v>54</v>
      </c>
      <c r="X163" s="18">
        <v>54</v>
      </c>
      <c r="Y163" s="16">
        <f t="shared" si="38"/>
        <v>0</v>
      </c>
      <c r="Z163" s="16">
        <f t="shared" si="39"/>
        <v>9</v>
      </c>
      <c r="AA163" s="4">
        <v>0</v>
      </c>
      <c r="AB163" s="4">
        <v>0</v>
      </c>
      <c r="AC163" s="4">
        <v>0</v>
      </c>
      <c r="AD163" s="4">
        <v>0</v>
      </c>
      <c r="AE163" s="19">
        <v>0</v>
      </c>
      <c r="AF163" s="13">
        <f t="shared" si="40"/>
        <v>3</v>
      </c>
      <c r="AG163" s="20">
        <f t="shared" si="32"/>
        <v>46031</v>
      </c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21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>
        <v>9</v>
      </c>
      <c r="BJ163" s="13"/>
      <c r="BK163" s="13"/>
      <c r="BL163" s="13"/>
      <c r="BM163" s="13">
        <f t="shared" si="33"/>
        <v>0</v>
      </c>
      <c r="BN163" s="22">
        <f t="shared" si="34"/>
        <v>9</v>
      </c>
      <c r="BO163" s="23" t="str">
        <f t="shared" si="35"/>
        <v>ok</v>
      </c>
      <c r="BP163" s="22">
        <f t="shared" si="36"/>
        <v>54</v>
      </c>
      <c r="BQ163" s="22" t="str">
        <f t="shared" si="37"/>
        <v>ok</v>
      </c>
      <c r="BR163" s="56"/>
    </row>
    <row r="164" spans="1:70" s="12" customFormat="1" ht="24.95" customHeight="1" x14ac:dyDescent="0.25">
      <c r="A164" s="4" t="s">
        <v>345</v>
      </c>
      <c r="B164" s="15" t="s">
        <v>346</v>
      </c>
      <c r="C164" s="5">
        <v>70008</v>
      </c>
      <c r="D164" s="5" t="s">
        <v>730</v>
      </c>
      <c r="E164" s="16" t="s">
        <v>890</v>
      </c>
      <c r="F164" s="16">
        <v>2</v>
      </c>
      <c r="G164" s="16">
        <v>0</v>
      </c>
      <c r="H164" s="16">
        <v>0</v>
      </c>
      <c r="I164" s="16" t="s">
        <v>15</v>
      </c>
      <c r="J164" s="17"/>
      <c r="K164" s="17"/>
      <c r="L164" s="17"/>
      <c r="M164" s="17"/>
      <c r="N164" s="17"/>
      <c r="O164" s="13"/>
      <c r="P164" s="13"/>
      <c r="Q164" s="13">
        <v>90</v>
      </c>
      <c r="R164" s="6">
        <v>9</v>
      </c>
      <c r="S164" s="7">
        <v>0.13</v>
      </c>
      <c r="T164" s="62">
        <v>33</v>
      </c>
      <c r="U164" s="16">
        <v>9.9</v>
      </c>
      <c r="V164" s="16"/>
      <c r="W164" s="16">
        <v>55.5</v>
      </c>
      <c r="X164" s="18">
        <v>55.5</v>
      </c>
      <c r="Y164" s="16">
        <f t="shared" si="38"/>
        <v>0</v>
      </c>
      <c r="Z164" s="16">
        <f t="shared" si="39"/>
        <v>9.9</v>
      </c>
      <c r="AA164" s="4">
        <v>12</v>
      </c>
      <c r="AB164" s="4">
        <v>0</v>
      </c>
      <c r="AC164" s="4">
        <v>0</v>
      </c>
      <c r="AD164" s="4">
        <v>0</v>
      </c>
      <c r="AE164" s="19">
        <v>12</v>
      </c>
      <c r="AF164" s="13">
        <f t="shared" si="40"/>
        <v>3</v>
      </c>
      <c r="AG164" s="20">
        <f t="shared" si="32"/>
        <v>46031</v>
      </c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13"/>
      <c r="AZ164" s="13"/>
      <c r="BA164" s="13"/>
      <c r="BB164" s="13">
        <v>9.9</v>
      </c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>
        <f t="shared" si="33"/>
        <v>0</v>
      </c>
      <c r="BN164" s="22">
        <f t="shared" si="34"/>
        <v>9.9</v>
      </c>
      <c r="BO164" s="23" t="str">
        <f t="shared" si="35"/>
        <v>ok</v>
      </c>
      <c r="BP164" s="22">
        <f t="shared" si="36"/>
        <v>55.5</v>
      </c>
      <c r="BQ164" s="22" t="str">
        <f t="shared" si="37"/>
        <v>ok</v>
      </c>
      <c r="BR164" s="56"/>
    </row>
    <row r="165" spans="1:70" s="12" customFormat="1" ht="24.95" customHeight="1" x14ac:dyDescent="0.25">
      <c r="A165" s="4" t="s">
        <v>347</v>
      </c>
      <c r="B165" s="15" t="s">
        <v>348</v>
      </c>
      <c r="C165" s="5">
        <v>70008</v>
      </c>
      <c r="D165" s="5" t="s">
        <v>730</v>
      </c>
      <c r="E165" s="16" t="s">
        <v>891</v>
      </c>
      <c r="F165" s="16">
        <v>2</v>
      </c>
      <c r="G165" s="16">
        <v>0</v>
      </c>
      <c r="H165" s="16">
        <v>0</v>
      </c>
      <c r="I165" s="16" t="s">
        <v>15</v>
      </c>
      <c r="J165" s="17"/>
      <c r="K165" s="17"/>
      <c r="L165" s="17"/>
      <c r="M165" s="17"/>
      <c r="N165" s="17"/>
      <c r="O165" s="13"/>
      <c r="P165" s="13"/>
      <c r="Q165" s="13">
        <v>11</v>
      </c>
      <c r="R165" s="6">
        <v>8</v>
      </c>
      <c r="S165" s="7">
        <v>0.13</v>
      </c>
      <c r="T165" s="62">
        <v>33</v>
      </c>
      <c r="U165" s="16">
        <v>13.5</v>
      </c>
      <c r="V165" s="16"/>
      <c r="W165" s="16">
        <v>52.5</v>
      </c>
      <c r="X165" s="18">
        <v>52.5</v>
      </c>
      <c r="Y165" s="16">
        <f t="shared" si="38"/>
        <v>0</v>
      </c>
      <c r="Z165" s="16">
        <f t="shared" si="39"/>
        <v>13.5</v>
      </c>
      <c r="AA165" s="4">
        <v>0</v>
      </c>
      <c r="AB165" s="4">
        <v>0</v>
      </c>
      <c r="AC165" s="4">
        <v>0</v>
      </c>
      <c r="AD165" s="4">
        <v>0</v>
      </c>
      <c r="AE165" s="19">
        <v>0</v>
      </c>
      <c r="AF165" s="13">
        <f t="shared" si="40"/>
        <v>3</v>
      </c>
      <c r="AG165" s="20">
        <f t="shared" si="32"/>
        <v>46031</v>
      </c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>
        <v>13.5</v>
      </c>
      <c r="AS165" s="13"/>
      <c r="AT165" s="13"/>
      <c r="AU165" s="13"/>
      <c r="AV165" s="21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>
        <f t="shared" si="33"/>
        <v>0</v>
      </c>
      <c r="BN165" s="22">
        <f t="shared" si="34"/>
        <v>13.5</v>
      </c>
      <c r="BO165" s="23" t="str">
        <f t="shared" si="35"/>
        <v>ok</v>
      </c>
      <c r="BP165" s="22">
        <f t="shared" si="36"/>
        <v>52.5</v>
      </c>
      <c r="BQ165" s="22" t="str">
        <f t="shared" si="37"/>
        <v>ok</v>
      </c>
      <c r="BR165" s="56"/>
    </row>
    <row r="166" spans="1:70" s="12" customFormat="1" ht="24.95" customHeight="1" x14ac:dyDescent="0.25">
      <c r="A166" s="4" t="s">
        <v>349</v>
      </c>
      <c r="B166" s="15" t="s">
        <v>350</v>
      </c>
      <c r="C166" s="5">
        <v>70009</v>
      </c>
      <c r="D166" s="5" t="s">
        <v>730</v>
      </c>
      <c r="E166" s="16" t="s">
        <v>892</v>
      </c>
      <c r="F166" s="16">
        <v>1</v>
      </c>
      <c r="G166" s="16">
        <v>0</v>
      </c>
      <c r="H166" s="16">
        <v>0</v>
      </c>
      <c r="I166" s="16" t="s">
        <v>15</v>
      </c>
      <c r="J166" s="17"/>
      <c r="K166" s="17"/>
      <c r="L166" s="17"/>
      <c r="M166" s="17"/>
      <c r="N166" s="17"/>
      <c r="O166" s="13"/>
      <c r="P166" s="13"/>
      <c r="Q166" s="13">
        <v>25</v>
      </c>
      <c r="R166" s="6">
        <v>16</v>
      </c>
      <c r="S166" s="7">
        <v>0.08</v>
      </c>
      <c r="T166" s="62">
        <v>33</v>
      </c>
      <c r="U166" s="16">
        <v>10.8</v>
      </c>
      <c r="V166" s="16"/>
      <c r="W166" s="16">
        <v>30</v>
      </c>
      <c r="X166" s="18">
        <v>30</v>
      </c>
      <c r="Y166" s="16">
        <f t="shared" si="38"/>
        <v>0</v>
      </c>
      <c r="Z166" s="16">
        <f t="shared" si="39"/>
        <v>10.8</v>
      </c>
      <c r="AA166" s="4">
        <v>0</v>
      </c>
      <c r="AB166" s="4">
        <v>45</v>
      </c>
      <c r="AC166" s="4">
        <v>0</v>
      </c>
      <c r="AD166" s="4">
        <v>0</v>
      </c>
      <c r="AE166" s="19">
        <v>45</v>
      </c>
      <c r="AF166" s="13">
        <f t="shared" si="40"/>
        <v>3</v>
      </c>
      <c r="AG166" s="20">
        <f t="shared" si="32"/>
        <v>46032</v>
      </c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13"/>
      <c r="AZ166" s="13"/>
      <c r="BA166" s="13"/>
      <c r="BB166" s="13"/>
      <c r="BC166" s="13"/>
      <c r="BD166" s="13"/>
      <c r="BE166" s="13">
        <v>10.8</v>
      </c>
      <c r="BF166" s="13"/>
      <c r="BG166" s="13"/>
      <c r="BH166" s="13"/>
      <c r="BI166" s="13"/>
      <c r="BJ166" s="13"/>
      <c r="BK166" s="13"/>
      <c r="BL166" s="13"/>
      <c r="BM166" s="13">
        <f t="shared" si="33"/>
        <v>0</v>
      </c>
      <c r="BN166" s="22">
        <f t="shared" si="34"/>
        <v>10.8</v>
      </c>
      <c r="BO166" s="23" t="str">
        <f t="shared" si="35"/>
        <v>ok</v>
      </c>
      <c r="BP166" s="22">
        <f t="shared" si="36"/>
        <v>30</v>
      </c>
      <c r="BQ166" s="22" t="str">
        <f t="shared" si="37"/>
        <v>ok</v>
      </c>
      <c r="BR166" s="56"/>
    </row>
    <row r="167" spans="1:70" s="12" customFormat="1" ht="24.95" customHeight="1" x14ac:dyDescent="0.25">
      <c r="A167" s="4" t="s">
        <v>351</v>
      </c>
      <c r="B167" s="15" t="s">
        <v>352</v>
      </c>
      <c r="C167" s="5">
        <v>70009</v>
      </c>
      <c r="D167" s="5" t="s">
        <v>730</v>
      </c>
      <c r="E167" s="16" t="s">
        <v>893</v>
      </c>
      <c r="F167" s="16">
        <v>1</v>
      </c>
      <c r="G167" s="16">
        <v>0</v>
      </c>
      <c r="H167" s="16">
        <v>0</v>
      </c>
      <c r="I167" s="16" t="s">
        <v>15</v>
      </c>
      <c r="J167" s="17"/>
      <c r="K167" s="17"/>
      <c r="L167" s="17"/>
      <c r="M167" s="17"/>
      <c r="N167" s="17"/>
      <c r="O167" s="13"/>
      <c r="P167" s="13"/>
      <c r="Q167" s="13">
        <v>74</v>
      </c>
      <c r="R167" s="6">
        <v>64</v>
      </c>
      <c r="S167" s="7">
        <v>0.13</v>
      </c>
      <c r="T167" s="62">
        <v>33</v>
      </c>
      <c r="U167" s="16">
        <v>10.8</v>
      </c>
      <c r="V167" s="16"/>
      <c r="W167" s="16">
        <v>22.5</v>
      </c>
      <c r="X167" s="18">
        <v>22.5</v>
      </c>
      <c r="Y167" s="16">
        <f t="shared" si="38"/>
        <v>0</v>
      </c>
      <c r="Z167" s="16">
        <f t="shared" si="39"/>
        <v>10.8</v>
      </c>
      <c r="AA167" s="4">
        <v>0</v>
      </c>
      <c r="AB167" s="4">
        <v>0</v>
      </c>
      <c r="AC167" s="4">
        <v>0</v>
      </c>
      <c r="AD167" s="4">
        <v>0</v>
      </c>
      <c r="AE167" s="19">
        <v>0</v>
      </c>
      <c r="AF167" s="13">
        <f t="shared" si="40"/>
        <v>3</v>
      </c>
      <c r="AG167" s="20">
        <f t="shared" si="32"/>
        <v>46031</v>
      </c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21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>
        <v>10.8</v>
      </c>
      <c r="BK167" s="13"/>
      <c r="BL167" s="13"/>
      <c r="BM167" s="13">
        <f t="shared" si="33"/>
        <v>0</v>
      </c>
      <c r="BN167" s="22">
        <f t="shared" si="34"/>
        <v>10.8</v>
      </c>
      <c r="BO167" s="23" t="str">
        <f t="shared" si="35"/>
        <v>ok</v>
      </c>
      <c r="BP167" s="22">
        <f t="shared" si="36"/>
        <v>22.5</v>
      </c>
      <c r="BQ167" s="22" t="str">
        <f t="shared" si="37"/>
        <v>ok</v>
      </c>
      <c r="BR167" s="56"/>
    </row>
    <row r="168" spans="1:70" s="12" customFormat="1" ht="24.95" customHeight="1" x14ac:dyDescent="0.25">
      <c r="A168" s="4" t="s">
        <v>353</v>
      </c>
      <c r="B168" s="15" t="s">
        <v>354</v>
      </c>
      <c r="C168" s="5">
        <v>70009</v>
      </c>
      <c r="D168" s="5" t="s">
        <v>730</v>
      </c>
      <c r="E168" s="16" t="s">
        <v>894</v>
      </c>
      <c r="F168" s="16">
        <v>1</v>
      </c>
      <c r="G168" s="16">
        <v>0</v>
      </c>
      <c r="H168" s="16">
        <v>0</v>
      </c>
      <c r="I168" s="16" t="s">
        <v>15</v>
      </c>
      <c r="J168" s="17"/>
      <c r="K168" s="17"/>
      <c r="L168" s="17"/>
      <c r="M168" s="17"/>
      <c r="N168" s="17"/>
      <c r="O168" s="13"/>
      <c r="P168" s="13"/>
      <c r="Q168" s="13">
        <v>20</v>
      </c>
      <c r="R168" s="6">
        <v>34</v>
      </c>
      <c r="S168" s="7">
        <v>0.08</v>
      </c>
      <c r="T168" s="62">
        <v>33</v>
      </c>
      <c r="U168" s="16">
        <v>10.8</v>
      </c>
      <c r="V168" s="16"/>
      <c r="W168" s="16">
        <v>28.5</v>
      </c>
      <c r="X168" s="18">
        <v>28.5</v>
      </c>
      <c r="Y168" s="16">
        <f t="shared" si="38"/>
        <v>0</v>
      </c>
      <c r="Z168" s="16">
        <f t="shared" si="39"/>
        <v>10.8</v>
      </c>
      <c r="AA168" s="4">
        <v>0</v>
      </c>
      <c r="AB168" s="4">
        <v>0</v>
      </c>
      <c r="AC168" s="4">
        <v>0</v>
      </c>
      <c r="AD168" s="4">
        <v>0</v>
      </c>
      <c r="AE168" s="19">
        <v>0</v>
      </c>
      <c r="AF168" s="13">
        <f t="shared" si="40"/>
        <v>3</v>
      </c>
      <c r="AG168" s="20">
        <f t="shared" si="32"/>
        <v>46031</v>
      </c>
      <c r="AH168" s="13"/>
      <c r="AI168" s="13"/>
      <c r="AJ168" s="13"/>
      <c r="AK168" s="13"/>
      <c r="AL168" s="13"/>
      <c r="AM168" s="13"/>
      <c r="AN168" s="13"/>
      <c r="AO168" s="13">
        <v>10.8</v>
      </c>
      <c r="AP168" s="13"/>
      <c r="AQ168" s="13"/>
      <c r="AR168" s="13"/>
      <c r="AS168" s="13"/>
      <c r="AT168" s="13"/>
      <c r="AU168" s="13"/>
      <c r="AV168" s="21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>
        <f t="shared" si="33"/>
        <v>0</v>
      </c>
      <c r="BN168" s="22">
        <f t="shared" si="34"/>
        <v>10.8</v>
      </c>
      <c r="BO168" s="23" t="str">
        <f t="shared" si="35"/>
        <v>ok</v>
      </c>
      <c r="BP168" s="22">
        <f t="shared" si="36"/>
        <v>28.5</v>
      </c>
      <c r="BQ168" s="22" t="str">
        <f t="shared" si="37"/>
        <v>ok</v>
      </c>
      <c r="BR168" s="56"/>
    </row>
    <row r="169" spans="1:70" s="12" customFormat="1" ht="24.95" customHeight="1" x14ac:dyDescent="0.25">
      <c r="A169" s="4" t="s">
        <v>355</v>
      </c>
      <c r="B169" s="15" t="s">
        <v>356</v>
      </c>
      <c r="C169" s="5">
        <v>70009</v>
      </c>
      <c r="D169" s="5" t="s">
        <v>730</v>
      </c>
      <c r="E169" s="16" t="s">
        <v>895</v>
      </c>
      <c r="F169" s="16">
        <v>1</v>
      </c>
      <c r="G169" s="16">
        <v>0</v>
      </c>
      <c r="H169" s="16">
        <v>0</v>
      </c>
      <c r="I169" s="16" t="s">
        <v>15</v>
      </c>
      <c r="J169" s="17"/>
      <c r="K169" s="17"/>
      <c r="L169" s="17"/>
      <c r="M169" s="17"/>
      <c r="N169" s="17"/>
      <c r="O169" s="13"/>
      <c r="P169" s="13"/>
      <c r="Q169" s="13">
        <v>66</v>
      </c>
      <c r="R169" s="6">
        <v>56</v>
      </c>
      <c r="S169" s="7">
        <v>0.13</v>
      </c>
      <c r="T169" s="62">
        <v>33</v>
      </c>
      <c r="U169" s="16">
        <v>10.8</v>
      </c>
      <c r="V169" s="16"/>
      <c r="W169" s="16">
        <v>21</v>
      </c>
      <c r="X169" s="18">
        <v>21</v>
      </c>
      <c r="Y169" s="16">
        <f t="shared" si="38"/>
        <v>0</v>
      </c>
      <c r="Z169" s="16">
        <f t="shared" si="39"/>
        <v>10.8</v>
      </c>
      <c r="AA169" s="4">
        <v>0</v>
      </c>
      <c r="AB169" s="4">
        <v>0</v>
      </c>
      <c r="AC169" s="4">
        <v>0</v>
      </c>
      <c r="AD169" s="4">
        <v>0</v>
      </c>
      <c r="AE169" s="19">
        <v>0</v>
      </c>
      <c r="AF169" s="13">
        <f t="shared" si="40"/>
        <v>3</v>
      </c>
      <c r="AG169" s="20">
        <f t="shared" si="32"/>
        <v>46031</v>
      </c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21"/>
      <c r="AW169" s="13"/>
      <c r="AX169" s="13"/>
      <c r="AY169" s="13"/>
      <c r="AZ169" s="13"/>
      <c r="BA169" s="13"/>
      <c r="BB169" s="13"/>
      <c r="BC169" s="13"/>
      <c r="BD169" s="13">
        <v>10.8</v>
      </c>
      <c r="BE169" s="13"/>
      <c r="BF169" s="13"/>
      <c r="BG169" s="13"/>
      <c r="BH169" s="13"/>
      <c r="BI169" s="13"/>
      <c r="BJ169" s="13"/>
      <c r="BK169" s="13"/>
      <c r="BL169" s="13"/>
      <c r="BM169" s="13">
        <f t="shared" si="33"/>
        <v>0</v>
      </c>
      <c r="BN169" s="22">
        <f t="shared" si="34"/>
        <v>10.8</v>
      </c>
      <c r="BO169" s="23" t="str">
        <f t="shared" si="35"/>
        <v>ok</v>
      </c>
      <c r="BP169" s="22">
        <f t="shared" si="36"/>
        <v>21</v>
      </c>
      <c r="BQ169" s="22" t="str">
        <f t="shared" si="37"/>
        <v>ok</v>
      </c>
      <c r="BR169" s="56"/>
    </row>
    <row r="170" spans="1:70" s="12" customFormat="1" ht="24.95" customHeight="1" x14ac:dyDescent="0.25">
      <c r="A170" s="4" t="s">
        <v>357</v>
      </c>
      <c r="B170" s="15" t="s">
        <v>358</v>
      </c>
      <c r="C170" s="5">
        <v>70009</v>
      </c>
      <c r="D170" s="5" t="s">
        <v>730</v>
      </c>
      <c r="E170" s="16" t="s">
        <v>896</v>
      </c>
      <c r="F170" s="16">
        <v>1</v>
      </c>
      <c r="G170" s="16">
        <v>0</v>
      </c>
      <c r="H170" s="16">
        <v>0</v>
      </c>
      <c r="I170" s="16" t="s">
        <v>15</v>
      </c>
      <c r="J170" s="17"/>
      <c r="K170" s="17"/>
      <c r="L170" s="17"/>
      <c r="M170" s="17"/>
      <c r="N170" s="17"/>
      <c r="O170" s="13"/>
      <c r="P170" s="13"/>
      <c r="Q170" s="13">
        <v>146</v>
      </c>
      <c r="R170" s="6">
        <v>83</v>
      </c>
      <c r="S170" s="7">
        <v>0.13</v>
      </c>
      <c r="T170" s="62">
        <v>33</v>
      </c>
      <c r="U170" s="16">
        <v>10.8</v>
      </c>
      <c r="V170" s="16"/>
      <c r="W170" s="16">
        <v>28.5</v>
      </c>
      <c r="X170" s="18">
        <v>28.5</v>
      </c>
      <c r="Y170" s="16">
        <f t="shared" si="38"/>
        <v>0</v>
      </c>
      <c r="Z170" s="16">
        <f t="shared" si="39"/>
        <v>10.8</v>
      </c>
      <c r="AA170" s="4">
        <v>0</v>
      </c>
      <c r="AB170" s="4">
        <v>0</v>
      </c>
      <c r="AC170" s="4">
        <v>0</v>
      </c>
      <c r="AD170" s="4">
        <v>0</v>
      </c>
      <c r="AE170" s="19">
        <v>0</v>
      </c>
      <c r="AF170" s="13">
        <f t="shared" si="40"/>
        <v>3</v>
      </c>
      <c r="AG170" s="20">
        <f t="shared" si="32"/>
        <v>46031</v>
      </c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>
        <v>10.8</v>
      </c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>
        <f t="shared" si="33"/>
        <v>0</v>
      </c>
      <c r="BN170" s="22">
        <f t="shared" si="34"/>
        <v>10.8</v>
      </c>
      <c r="BO170" s="23" t="str">
        <f t="shared" si="35"/>
        <v>ok</v>
      </c>
      <c r="BP170" s="22">
        <f t="shared" si="36"/>
        <v>28.5</v>
      </c>
      <c r="BQ170" s="22" t="str">
        <f t="shared" si="37"/>
        <v>ok</v>
      </c>
      <c r="BR170" s="56"/>
    </row>
    <row r="171" spans="1:70" s="12" customFormat="1" ht="24.95" customHeight="1" x14ac:dyDescent="0.25">
      <c r="A171" s="4" t="s">
        <v>359</v>
      </c>
      <c r="B171" s="15" t="s">
        <v>360</v>
      </c>
      <c r="C171" s="5">
        <v>70009</v>
      </c>
      <c r="D171" s="5" t="s">
        <v>730</v>
      </c>
      <c r="E171" s="16" t="s">
        <v>897</v>
      </c>
      <c r="F171" s="16">
        <v>1</v>
      </c>
      <c r="G171" s="16">
        <v>0</v>
      </c>
      <c r="H171" s="16">
        <v>0</v>
      </c>
      <c r="I171" s="16" t="s">
        <v>15</v>
      </c>
      <c r="J171" s="17"/>
      <c r="K171" s="17"/>
      <c r="L171" s="17"/>
      <c r="M171" s="17"/>
      <c r="N171" s="17"/>
      <c r="O171" s="13"/>
      <c r="P171" s="13"/>
      <c r="Q171" s="13">
        <v>60</v>
      </c>
      <c r="R171" s="6">
        <v>10</v>
      </c>
      <c r="S171" s="7">
        <v>0.13</v>
      </c>
      <c r="T171" s="62">
        <v>33</v>
      </c>
      <c r="U171" s="16">
        <v>10.8</v>
      </c>
      <c r="V171" s="16"/>
      <c r="W171" s="16">
        <v>55.5</v>
      </c>
      <c r="X171" s="18">
        <v>55.5</v>
      </c>
      <c r="Y171" s="16">
        <f t="shared" si="38"/>
        <v>0</v>
      </c>
      <c r="Z171" s="16">
        <f t="shared" si="39"/>
        <v>10.8</v>
      </c>
      <c r="AA171" s="4">
        <v>0</v>
      </c>
      <c r="AB171" s="4">
        <v>0</v>
      </c>
      <c r="AC171" s="4">
        <v>0</v>
      </c>
      <c r="AD171" s="4">
        <v>0</v>
      </c>
      <c r="AE171" s="19">
        <v>0</v>
      </c>
      <c r="AF171" s="13">
        <f t="shared" si="40"/>
        <v>3</v>
      </c>
      <c r="AG171" s="20">
        <f t="shared" si="32"/>
        <v>46031</v>
      </c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21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>
        <v>10.8</v>
      </c>
      <c r="BG171" s="13"/>
      <c r="BH171" s="13"/>
      <c r="BI171" s="13"/>
      <c r="BJ171" s="13"/>
      <c r="BK171" s="13"/>
      <c r="BL171" s="13"/>
      <c r="BM171" s="13">
        <f t="shared" si="33"/>
        <v>0</v>
      </c>
      <c r="BN171" s="22">
        <f t="shared" si="34"/>
        <v>10.8</v>
      </c>
      <c r="BO171" s="23" t="str">
        <f t="shared" si="35"/>
        <v>ok</v>
      </c>
      <c r="BP171" s="22">
        <f t="shared" si="36"/>
        <v>55.5</v>
      </c>
      <c r="BQ171" s="22" t="str">
        <f t="shared" si="37"/>
        <v>ok</v>
      </c>
      <c r="BR171" s="56"/>
    </row>
    <row r="172" spans="1:70" s="12" customFormat="1" ht="24.95" customHeight="1" x14ac:dyDescent="0.25">
      <c r="A172" s="4" t="s">
        <v>361</v>
      </c>
      <c r="B172" s="15" t="s">
        <v>362</v>
      </c>
      <c r="C172" s="5">
        <v>70009</v>
      </c>
      <c r="D172" s="5" t="s">
        <v>730</v>
      </c>
      <c r="E172" s="16" t="s">
        <v>898</v>
      </c>
      <c r="F172" s="16">
        <v>2</v>
      </c>
      <c r="G172" s="16">
        <v>0</v>
      </c>
      <c r="H172" s="16">
        <v>0</v>
      </c>
      <c r="I172" s="16" t="s">
        <v>15</v>
      </c>
      <c r="J172" s="17"/>
      <c r="K172" s="17"/>
      <c r="L172" s="17"/>
      <c r="M172" s="17"/>
      <c r="N172" s="17"/>
      <c r="O172" s="13"/>
      <c r="P172" s="13"/>
      <c r="Q172" s="13">
        <v>91</v>
      </c>
      <c r="R172" s="6">
        <v>77</v>
      </c>
      <c r="S172" s="7">
        <v>0.13</v>
      </c>
      <c r="T172" s="62">
        <v>33</v>
      </c>
      <c r="U172" s="16">
        <v>9.9</v>
      </c>
      <c r="V172" s="16"/>
      <c r="W172" s="16">
        <v>30</v>
      </c>
      <c r="X172" s="18">
        <v>30</v>
      </c>
      <c r="Y172" s="16">
        <f t="shared" si="38"/>
        <v>0</v>
      </c>
      <c r="Z172" s="16">
        <f t="shared" si="39"/>
        <v>9.9</v>
      </c>
      <c r="AA172" s="4">
        <v>0</v>
      </c>
      <c r="AB172" s="4">
        <v>0</v>
      </c>
      <c r="AC172" s="4">
        <v>0</v>
      </c>
      <c r="AD172" s="4">
        <v>0</v>
      </c>
      <c r="AE172" s="19">
        <v>0</v>
      </c>
      <c r="AF172" s="13">
        <f t="shared" si="40"/>
        <v>3</v>
      </c>
      <c r="AG172" s="20">
        <f t="shared" si="32"/>
        <v>46031</v>
      </c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21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>
        <v>9.9</v>
      </c>
      <c r="BL172" s="13"/>
      <c r="BM172" s="13">
        <f t="shared" si="33"/>
        <v>9.9</v>
      </c>
      <c r="BN172" s="22">
        <f t="shared" si="34"/>
        <v>0</v>
      </c>
      <c r="BO172" s="23" t="str">
        <f t="shared" si="35"/>
        <v>ok</v>
      </c>
      <c r="BP172" s="22">
        <f t="shared" si="36"/>
        <v>30</v>
      </c>
      <c r="BQ172" s="22" t="str">
        <f t="shared" si="37"/>
        <v>ok</v>
      </c>
      <c r="BR172" s="56"/>
    </row>
    <row r="173" spans="1:70" s="12" customFormat="1" ht="24.95" customHeight="1" x14ac:dyDescent="0.25">
      <c r="A173" s="4" t="s">
        <v>363</v>
      </c>
      <c r="B173" s="15" t="s">
        <v>364</v>
      </c>
      <c r="C173" s="5">
        <v>70009</v>
      </c>
      <c r="D173" s="5" t="s">
        <v>730</v>
      </c>
      <c r="E173" s="16" t="s">
        <v>899</v>
      </c>
      <c r="F173" s="16">
        <v>1</v>
      </c>
      <c r="G173" s="16">
        <v>0</v>
      </c>
      <c r="H173" s="16">
        <v>0</v>
      </c>
      <c r="I173" s="16" t="s">
        <v>15</v>
      </c>
      <c r="J173" s="17"/>
      <c r="K173" s="17"/>
      <c r="L173" s="17"/>
      <c r="M173" s="17"/>
      <c r="N173" s="17"/>
      <c r="O173" s="13"/>
      <c r="P173" s="13"/>
      <c r="Q173" s="13">
        <v>99</v>
      </c>
      <c r="R173" s="6">
        <v>86</v>
      </c>
      <c r="S173" s="7">
        <v>0.13</v>
      </c>
      <c r="T173" s="62">
        <v>33</v>
      </c>
      <c r="U173" s="16">
        <v>9.9</v>
      </c>
      <c r="V173" s="16"/>
      <c r="W173" s="16">
        <v>22.5</v>
      </c>
      <c r="X173" s="18">
        <v>22.5</v>
      </c>
      <c r="Y173" s="16">
        <f t="shared" si="38"/>
        <v>0</v>
      </c>
      <c r="Z173" s="16">
        <f t="shared" si="39"/>
        <v>9.9</v>
      </c>
      <c r="AA173" s="4">
        <v>0</v>
      </c>
      <c r="AB173" s="4">
        <v>0</v>
      </c>
      <c r="AC173" s="4">
        <v>0</v>
      </c>
      <c r="AD173" s="4">
        <v>0</v>
      </c>
      <c r="AE173" s="19">
        <v>0</v>
      </c>
      <c r="AF173" s="13">
        <f t="shared" si="40"/>
        <v>3</v>
      </c>
      <c r="AG173" s="20">
        <f t="shared" si="32"/>
        <v>46031</v>
      </c>
      <c r="AH173" s="13"/>
      <c r="AI173" s="13"/>
      <c r="AJ173" s="13"/>
      <c r="AK173" s="13"/>
      <c r="AL173" s="13"/>
      <c r="AM173" s="13">
        <v>9.9</v>
      </c>
      <c r="AN173" s="13"/>
      <c r="AO173" s="13"/>
      <c r="AP173" s="13"/>
      <c r="AQ173" s="13"/>
      <c r="AR173" s="13"/>
      <c r="AS173" s="13"/>
      <c r="AT173" s="13"/>
      <c r="AU173" s="13"/>
      <c r="AV173" s="21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>
        <f t="shared" si="33"/>
        <v>0</v>
      </c>
      <c r="BN173" s="22">
        <f t="shared" si="34"/>
        <v>9.9</v>
      </c>
      <c r="BO173" s="23" t="str">
        <f t="shared" si="35"/>
        <v>ok</v>
      </c>
      <c r="BP173" s="22">
        <f t="shared" si="36"/>
        <v>22.5</v>
      </c>
      <c r="BQ173" s="22" t="str">
        <f t="shared" si="37"/>
        <v>ok</v>
      </c>
      <c r="BR173" s="56"/>
    </row>
    <row r="174" spans="1:70" s="12" customFormat="1" ht="24.95" customHeight="1" x14ac:dyDescent="0.25">
      <c r="A174" s="4" t="s">
        <v>365</v>
      </c>
      <c r="B174" s="15" t="s">
        <v>366</v>
      </c>
      <c r="C174" s="5">
        <v>70009</v>
      </c>
      <c r="D174" s="5" t="s">
        <v>730</v>
      </c>
      <c r="E174" s="16" t="s">
        <v>900</v>
      </c>
      <c r="F174" s="16">
        <v>1</v>
      </c>
      <c r="G174" s="16">
        <v>0</v>
      </c>
      <c r="H174" s="16">
        <v>0</v>
      </c>
      <c r="I174" s="16" t="s">
        <v>15</v>
      </c>
      <c r="J174" s="17"/>
      <c r="K174" s="17"/>
      <c r="L174" s="17"/>
      <c r="M174" s="17"/>
      <c r="N174" s="17"/>
      <c r="O174" s="13"/>
      <c r="P174" s="13"/>
      <c r="Q174" s="13">
        <v>49</v>
      </c>
      <c r="R174" s="6">
        <v>43</v>
      </c>
      <c r="S174" s="7">
        <v>0.13</v>
      </c>
      <c r="T174" s="62">
        <v>33</v>
      </c>
      <c r="U174" s="16">
        <v>9.9</v>
      </c>
      <c r="V174" s="16"/>
      <c r="W174" s="16">
        <v>51</v>
      </c>
      <c r="X174" s="18">
        <v>51</v>
      </c>
      <c r="Y174" s="16">
        <f t="shared" si="38"/>
        <v>0</v>
      </c>
      <c r="Z174" s="16">
        <f t="shared" si="39"/>
        <v>9.9</v>
      </c>
      <c r="AA174" s="4">
        <v>0</v>
      </c>
      <c r="AB174" s="4">
        <v>0</v>
      </c>
      <c r="AC174" s="4">
        <v>0</v>
      </c>
      <c r="AD174" s="4">
        <v>0</v>
      </c>
      <c r="AE174" s="19">
        <v>0</v>
      </c>
      <c r="AF174" s="13">
        <f t="shared" si="40"/>
        <v>3</v>
      </c>
      <c r="AG174" s="20">
        <f t="shared" si="32"/>
        <v>46031</v>
      </c>
      <c r="AH174" s="13"/>
      <c r="AI174" s="13"/>
      <c r="AJ174" s="13"/>
      <c r="AK174" s="13"/>
      <c r="AL174" s="13"/>
      <c r="AM174" s="13">
        <v>9.9</v>
      </c>
      <c r="AN174" s="13"/>
      <c r="AO174" s="13"/>
      <c r="AP174" s="13"/>
      <c r="AQ174" s="13"/>
      <c r="AR174" s="13"/>
      <c r="AS174" s="13"/>
      <c r="AT174" s="13"/>
      <c r="AU174" s="13"/>
      <c r="AV174" s="21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>
        <f t="shared" si="33"/>
        <v>0</v>
      </c>
      <c r="BN174" s="22">
        <f t="shared" si="34"/>
        <v>9.9</v>
      </c>
      <c r="BO174" s="23" t="str">
        <f t="shared" si="35"/>
        <v>ok</v>
      </c>
      <c r="BP174" s="22">
        <f t="shared" si="36"/>
        <v>51</v>
      </c>
      <c r="BQ174" s="22" t="str">
        <f t="shared" si="37"/>
        <v>ok</v>
      </c>
      <c r="BR174" s="56"/>
    </row>
    <row r="175" spans="1:70" s="12" customFormat="1" ht="24.95" customHeight="1" x14ac:dyDescent="0.25">
      <c r="A175" s="4" t="s">
        <v>367</v>
      </c>
      <c r="B175" s="15" t="s">
        <v>368</v>
      </c>
      <c r="C175" s="5">
        <v>70009</v>
      </c>
      <c r="D175" s="5" t="s">
        <v>730</v>
      </c>
      <c r="E175" s="16" t="s">
        <v>901</v>
      </c>
      <c r="F175" s="16">
        <v>1</v>
      </c>
      <c r="G175" s="16">
        <v>0</v>
      </c>
      <c r="H175" s="16">
        <v>0</v>
      </c>
      <c r="I175" s="16" t="s">
        <v>15</v>
      </c>
      <c r="J175" s="17"/>
      <c r="K175" s="17"/>
      <c r="L175" s="17"/>
      <c r="M175" s="17"/>
      <c r="N175" s="17"/>
      <c r="O175" s="13"/>
      <c r="P175" s="13"/>
      <c r="Q175" s="13">
        <v>47</v>
      </c>
      <c r="R175" s="13">
        <v>41</v>
      </c>
      <c r="S175" s="7">
        <v>0.13</v>
      </c>
      <c r="T175" s="62">
        <v>33</v>
      </c>
      <c r="U175" s="16">
        <v>10.8</v>
      </c>
      <c r="V175" s="16"/>
      <c r="W175" s="16">
        <v>24</v>
      </c>
      <c r="X175" s="18">
        <v>24</v>
      </c>
      <c r="Y175" s="16">
        <f t="shared" si="38"/>
        <v>0</v>
      </c>
      <c r="Z175" s="16">
        <f t="shared" si="39"/>
        <v>10.8</v>
      </c>
      <c r="AA175" s="4">
        <v>0</v>
      </c>
      <c r="AB175" s="4">
        <v>0</v>
      </c>
      <c r="AC175" s="4">
        <v>0</v>
      </c>
      <c r="AD175" s="4">
        <v>0</v>
      </c>
      <c r="AE175" s="19">
        <v>0</v>
      </c>
      <c r="AF175" s="13">
        <f t="shared" si="40"/>
        <v>3</v>
      </c>
      <c r="AG175" s="20">
        <f t="shared" si="32"/>
        <v>46031</v>
      </c>
      <c r="AH175" s="13"/>
      <c r="AI175" s="13"/>
      <c r="AJ175" s="13">
        <v>10.8</v>
      </c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21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>
        <f t="shared" si="33"/>
        <v>0</v>
      </c>
      <c r="BN175" s="22">
        <f t="shared" si="34"/>
        <v>10.8</v>
      </c>
      <c r="BO175" s="23" t="str">
        <f t="shared" si="35"/>
        <v>ok</v>
      </c>
      <c r="BP175" s="22">
        <f t="shared" si="36"/>
        <v>24</v>
      </c>
      <c r="BQ175" s="22" t="str">
        <f t="shared" si="37"/>
        <v>ok</v>
      </c>
      <c r="BR175" s="56"/>
    </row>
    <row r="176" spans="1:70" s="12" customFormat="1" ht="24.95" customHeight="1" x14ac:dyDescent="0.25">
      <c r="A176" s="4" t="s">
        <v>369</v>
      </c>
      <c r="B176" s="15" t="s">
        <v>370</v>
      </c>
      <c r="C176" s="5">
        <v>70009</v>
      </c>
      <c r="D176" s="5" t="s">
        <v>730</v>
      </c>
      <c r="E176" s="16" t="s">
        <v>902</v>
      </c>
      <c r="F176" s="16">
        <v>1</v>
      </c>
      <c r="G176" s="16">
        <v>0</v>
      </c>
      <c r="H176" s="16">
        <v>0</v>
      </c>
      <c r="I176" s="16" t="s">
        <v>15</v>
      </c>
      <c r="J176" s="17"/>
      <c r="K176" s="17"/>
      <c r="L176" s="17"/>
      <c r="M176" s="17"/>
      <c r="N176" s="17"/>
      <c r="O176" s="13"/>
      <c r="P176" s="13"/>
      <c r="Q176" s="13">
        <v>26</v>
      </c>
      <c r="R176" s="6">
        <v>23</v>
      </c>
      <c r="S176" s="7">
        <v>0.19</v>
      </c>
      <c r="T176" s="62">
        <v>33</v>
      </c>
      <c r="U176" s="16">
        <v>10.8</v>
      </c>
      <c r="V176" s="16"/>
      <c r="W176" s="16">
        <v>33</v>
      </c>
      <c r="X176" s="18">
        <v>33</v>
      </c>
      <c r="Y176" s="16">
        <f t="shared" si="38"/>
        <v>0</v>
      </c>
      <c r="Z176" s="16">
        <f t="shared" si="39"/>
        <v>10.8</v>
      </c>
      <c r="AA176" s="4">
        <v>0</v>
      </c>
      <c r="AB176" s="4">
        <v>0</v>
      </c>
      <c r="AC176" s="4">
        <v>0</v>
      </c>
      <c r="AD176" s="4">
        <v>0</v>
      </c>
      <c r="AE176" s="19">
        <v>0</v>
      </c>
      <c r="AF176" s="13">
        <f t="shared" si="40"/>
        <v>3</v>
      </c>
      <c r="AG176" s="20">
        <f t="shared" si="32"/>
        <v>46031</v>
      </c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21"/>
      <c r="AW176" s="13">
        <v>10.8</v>
      </c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>
        <f t="shared" si="33"/>
        <v>0</v>
      </c>
      <c r="BN176" s="22">
        <f t="shared" si="34"/>
        <v>10.8</v>
      </c>
      <c r="BO176" s="23" t="str">
        <f t="shared" si="35"/>
        <v>ok</v>
      </c>
      <c r="BP176" s="22">
        <f t="shared" si="36"/>
        <v>33</v>
      </c>
      <c r="BQ176" s="22" t="str">
        <f t="shared" si="37"/>
        <v>ok</v>
      </c>
      <c r="BR176" s="56"/>
    </row>
    <row r="177" spans="1:70" s="12" customFormat="1" ht="24.95" customHeight="1" x14ac:dyDescent="0.25">
      <c r="A177" s="4" t="s">
        <v>371</v>
      </c>
      <c r="B177" s="15" t="s">
        <v>372</v>
      </c>
      <c r="C177" s="5">
        <v>70009</v>
      </c>
      <c r="D177" s="5" t="s">
        <v>730</v>
      </c>
      <c r="E177" s="16" t="s">
        <v>903</v>
      </c>
      <c r="F177" s="16">
        <v>1</v>
      </c>
      <c r="G177" s="16">
        <v>0</v>
      </c>
      <c r="H177" s="16">
        <v>0</v>
      </c>
      <c r="I177" s="16" t="s">
        <v>15</v>
      </c>
      <c r="J177" s="17"/>
      <c r="K177" s="17"/>
      <c r="L177" s="17"/>
      <c r="M177" s="17"/>
      <c r="N177" s="17"/>
      <c r="O177" s="13"/>
      <c r="P177" s="13"/>
      <c r="Q177" s="13">
        <v>18</v>
      </c>
      <c r="R177" s="6">
        <v>15</v>
      </c>
      <c r="S177" s="7">
        <v>0.19</v>
      </c>
      <c r="T177" s="62">
        <v>33</v>
      </c>
      <c r="U177" s="16">
        <v>10.8</v>
      </c>
      <c r="V177" s="16"/>
      <c r="W177" s="16">
        <v>22.5</v>
      </c>
      <c r="X177" s="18">
        <v>22.5</v>
      </c>
      <c r="Y177" s="16">
        <f t="shared" si="38"/>
        <v>0</v>
      </c>
      <c r="Z177" s="16">
        <f t="shared" si="39"/>
        <v>10.8</v>
      </c>
      <c r="AA177" s="4">
        <v>0</v>
      </c>
      <c r="AB177" s="4">
        <v>0</v>
      </c>
      <c r="AC177" s="4">
        <v>0</v>
      </c>
      <c r="AD177" s="4">
        <v>0</v>
      </c>
      <c r="AE177" s="19">
        <v>0</v>
      </c>
      <c r="AF177" s="13">
        <f t="shared" si="40"/>
        <v>3</v>
      </c>
      <c r="AG177" s="20">
        <f t="shared" si="32"/>
        <v>46031</v>
      </c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>
        <v>10.8</v>
      </c>
      <c r="AS177" s="13"/>
      <c r="AT177" s="13"/>
      <c r="AU177" s="13"/>
      <c r="AV177" s="21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>
        <f t="shared" si="33"/>
        <v>0</v>
      </c>
      <c r="BN177" s="22">
        <f t="shared" si="34"/>
        <v>10.8</v>
      </c>
      <c r="BO177" s="23" t="str">
        <f t="shared" si="35"/>
        <v>ok</v>
      </c>
      <c r="BP177" s="22">
        <f t="shared" si="36"/>
        <v>22.5</v>
      </c>
      <c r="BQ177" s="22" t="str">
        <f t="shared" si="37"/>
        <v>ok</v>
      </c>
      <c r="BR177" s="56"/>
    </row>
    <row r="178" spans="1:70" s="12" customFormat="1" ht="24.95" customHeight="1" x14ac:dyDescent="0.25">
      <c r="A178" s="4" t="s">
        <v>373</v>
      </c>
      <c r="B178" s="15" t="s">
        <v>374</v>
      </c>
      <c r="C178" s="5">
        <v>70009</v>
      </c>
      <c r="D178" s="5" t="s">
        <v>730</v>
      </c>
      <c r="E178" s="16" t="s">
        <v>904</v>
      </c>
      <c r="F178" s="16">
        <v>2</v>
      </c>
      <c r="G178" s="16">
        <v>0</v>
      </c>
      <c r="H178" s="16">
        <v>0</v>
      </c>
      <c r="I178" s="16" t="s">
        <v>15</v>
      </c>
      <c r="J178" s="17"/>
      <c r="K178" s="17"/>
      <c r="L178" s="17"/>
      <c r="M178" s="17"/>
      <c r="N178" s="17"/>
      <c r="O178" s="13"/>
      <c r="P178" s="13"/>
      <c r="Q178" s="13">
        <v>63</v>
      </c>
      <c r="R178" s="6">
        <v>55</v>
      </c>
      <c r="S178" s="7">
        <v>0.19</v>
      </c>
      <c r="T178" s="62">
        <v>33</v>
      </c>
      <c r="U178" s="16">
        <v>10.8</v>
      </c>
      <c r="V178" s="16"/>
      <c r="W178" s="16">
        <v>39</v>
      </c>
      <c r="X178" s="18">
        <v>39</v>
      </c>
      <c r="Y178" s="16">
        <f t="shared" si="38"/>
        <v>0</v>
      </c>
      <c r="Z178" s="16">
        <f t="shared" si="39"/>
        <v>10.8</v>
      </c>
      <c r="AA178" s="4">
        <v>0</v>
      </c>
      <c r="AB178" s="4">
        <v>0</v>
      </c>
      <c r="AC178" s="4">
        <v>0</v>
      </c>
      <c r="AD178" s="4">
        <v>0</v>
      </c>
      <c r="AE178" s="19">
        <v>0</v>
      </c>
      <c r="AF178" s="13">
        <f t="shared" si="40"/>
        <v>3</v>
      </c>
      <c r="AG178" s="20">
        <f t="shared" si="32"/>
        <v>46031</v>
      </c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>
        <v>10.8</v>
      </c>
      <c r="AT178" s="13"/>
      <c r="AU178" s="13"/>
      <c r="AV178" s="21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>
        <f t="shared" si="33"/>
        <v>0</v>
      </c>
      <c r="BN178" s="22">
        <f t="shared" si="34"/>
        <v>10.8</v>
      </c>
      <c r="BO178" s="23" t="str">
        <f t="shared" si="35"/>
        <v>ok</v>
      </c>
      <c r="BP178" s="22">
        <f t="shared" si="36"/>
        <v>39</v>
      </c>
      <c r="BQ178" s="22" t="str">
        <f t="shared" si="37"/>
        <v>ok</v>
      </c>
      <c r="BR178" s="56"/>
    </row>
    <row r="179" spans="1:70" s="12" customFormat="1" ht="24.95" customHeight="1" x14ac:dyDescent="0.25">
      <c r="A179" s="4" t="s">
        <v>375</v>
      </c>
      <c r="B179" s="15" t="s">
        <v>376</v>
      </c>
      <c r="C179" s="5">
        <v>70009</v>
      </c>
      <c r="D179" s="5" t="s">
        <v>730</v>
      </c>
      <c r="E179" s="16" t="s">
        <v>905</v>
      </c>
      <c r="F179" s="16">
        <v>1</v>
      </c>
      <c r="G179" s="16">
        <v>0</v>
      </c>
      <c r="H179" s="16">
        <v>0</v>
      </c>
      <c r="I179" s="16" t="s">
        <v>15</v>
      </c>
      <c r="J179" s="17"/>
      <c r="K179" s="17"/>
      <c r="L179" s="17"/>
      <c r="M179" s="17"/>
      <c r="N179" s="17"/>
      <c r="O179" s="13"/>
      <c r="P179" s="13"/>
      <c r="Q179" s="13">
        <v>33</v>
      </c>
      <c r="R179" s="6">
        <v>29</v>
      </c>
      <c r="S179" s="7">
        <v>0.19</v>
      </c>
      <c r="T179" s="62">
        <v>33</v>
      </c>
      <c r="U179" s="16">
        <v>10.8</v>
      </c>
      <c r="V179" s="16"/>
      <c r="W179" s="16">
        <v>46.5</v>
      </c>
      <c r="X179" s="18">
        <v>46.5</v>
      </c>
      <c r="Y179" s="16">
        <f t="shared" si="38"/>
        <v>0</v>
      </c>
      <c r="Z179" s="16">
        <f t="shared" si="39"/>
        <v>10.8</v>
      </c>
      <c r="AA179" s="4">
        <v>0</v>
      </c>
      <c r="AB179" s="4">
        <v>0</v>
      </c>
      <c r="AC179" s="4">
        <v>0</v>
      </c>
      <c r="AD179" s="4">
        <v>0</v>
      </c>
      <c r="AE179" s="19">
        <v>0</v>
      </c>
      <c r="AF179" s="13">
        <f t="shared" si="40"/>
        <v>3</v>
      </c>
      <c r="AG179" s="20">
        <f t="shared" si="32"/>
        <v>46031</v>
      </c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21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>
        <v>10.8</v>
      </c>
      <c r="BJ179" s="13"/>
      <c r="BK179" s="13"/>
      <c r="BL179" s="13"/>
      <c r="BM179" s="13">
        <f t="shared" si="33"/>
        <v>0</v>
      </c>
      <c r="BN179" s="22">
        <f t="shared" si="34"/>
        <v>10.8</v>
      </c>
      <c r="BO179" s="23" t="str">
        <f t="shared" si="35"/>
        <v>ok</v>
      </c>
      <c r="BP179" s="22">
        <f t="shared" si="36"/>
        <v>46.5</v>
      </c>
      <c r="BQ179" s="22" t="str">
        <f t="shared" si="37"/>
        <v>ok</v>
      </c>
      <c r="BR179" s="56"/>
    </row>
    <row r="180" spans="1:70" s="12" customFormat="1" ht="24.95" customHeight="1" x14ac:dyDescent="0.25">
      <c r="A180" s="4" t="s">
        <v>377</v>
      </c>
      <c r="B180" s="15" t="s">
        <v>378</v>
      </c>
      <c r="C180" s="5">
        <v>70009</v>
      </c>
      <c r="D180" s="5" t="s">
        <v>730</v>
      </c>
      <c r="E180" s="16" t="s">
        <v>906</v>
      </c>
      <c r="F180" s="16">
        <v>1</v>
      </c>
      <c r="G180" s="16">
        <v>0</v>
      </c>
      <c r="H180" s="16">
        <v>0</v>
      </c>
      <c r="I180" s="16" t="s">
        <v>15</v>
      </c>
      <c r="J180" s="17"/>
      <c r="K180" s="17"/>
      <c r="L180" s="17"/>
      <c r="M180" s="17"/>
      <c r="N180" s="17"/>
      <c r="O180" s="13"/>
      <c r="P180" s="13"/>
      <c r="Q180" s="13">
        <v>91</v>
      </c>
      <c r="R180" s="6">
        <v>79</v>
      </c>
      <c r="S180" s="7">
        <v>0.19</v>
      </c>
      <c r="T180" s="62">
        <v>33</v>
      </c>
      <c r="U180" s="16">
        <v>9</v>
      </c>
      <c r="V180" s="16"/>
      <c r="W180" s="16">
        <v>30</v>
      </c>
      <c r="X180" s="18">
        <v>30</v>
      </c>
      <c r="Y180" s="16">
        <f t="shared" si="38"/>
        <v>0</v>
      </c>
      <c r="Z180" s="16">
        <f t="shared" si="39"/>
        <v>9</v>
      </c>
      <c r="AA180" s="4">
        <v>0</v>
      </c>
      <c r="AB180" s="4">
        <v>0</v>
      </c>
      <c r="AC180" s="4">
        <v>0</v>
      </c>
      <c r="AD180" s="4">
        <v>0</v>
      </c>
      <c r="AE180" s="19">
        <v>0</v>
      </c>
      <c r="AF180" s="13">
        <f t="shared" si="40"/>
        <v>3</v>
      </c>
      <c r="AG180" s="20">
        <f t="shared" si="32"/>
        <v>46031</v>
      </c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21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>
        <v>9</v>
      </c>
      <c r="BL180" s="13"/>
      <c r="BM180" s="13">
        <f t="shared" si="33"/>
        <v>9</v>
      </c>
      <c r="BN180" s="22">
        <f t="shared" si="34"/>
        <v>0</v>
      </c>
      <c r="BO180" s="23" t="str">
        <f t="shared" si="35"/>
        <v>ok</v>
      </c>
      <c r="BP180" s="22">
        <f t="shared" si="36"/>
        <v>30</v>
      </c>
      <c r="BQ180" s="22" t="str">
        <f t="shared" si="37"/>
        <v>ok</v>
      </c>
      <c r="BR180" s="56"/>
    </row>
    <row r="181" spans="1:70" s="12" customFormat="1" ht="24.95" customHeight="1" x14ac:dyDescent="0.25">
      <c r="A181" s="4" t="s">
        <v>379</v>
      </c>
      <c r="B181" s="15" t="s">
        <v>380</v>
      </c>
      <c r="C181" s="5">
        <v>70009</v>
      </c>
      <c r="D181" s="5" t="s">
        <v>730</v>
      </c>
      <c r="E181" s="16" t="s">
        <v>907</v>
      </c>
      <c r="F181" s="16">
        <v>2</v>
      </c>
      <c r="G181" s="16">
        <v>0</v>
      </c>
      <c r="H181" s="16">
        <v>0</v>
      </c>
      <c r="I181" s="16" t="s">
        <v>15</v>
      </c>
      <c r="J181" s="17"/>
      <c r="K181" s="17"/>
      <c r="L181" s="17"/>
      <c r="M181" s="17"/>
      <c r="N181" s="17"/>
      <c r="O181" s="13"/>
      <c r="P181" s="13"/>
      <c r="Q181" s="13">
        <v>29</v>
      </c>
      <c r="R181" s="6">
        <v>25</v>
      </c>
      <c r="S181" s="7">
        <v>0.19</v>
      </c>
      <c r="T181" s="62">
        <v>33</v>
      </c>
      <c r="U181" s="16">
        <v>10.8</v>
      </c>
      <c r="V181" s="16"/>
      <c r="W181" s="16">
        <v>43.5</v>
      </c>
      <c r="X181" s="18">
        <v>43.5</v>
      </c>
      <c r="Y181" s="16">
        <f t="shared" si="38"/>
        <v>0</v>
      </c>
      <c r="Z181" s="16">
        <f t="shared" si="39"/>
        <v>10.8</v>
      </c>
      <c r="AA181" s="4">
        <v>0</v>
      </c>
      <c r="AB181" s="4">
        <v>0</v>
      </c>
      <c r="AC181" s="4">
        <v>0</v>
      </c>
      <c r="AD181" s="4">
        <v>0</v>
      </c>
      <c r="AE181" s="19">
        <v>0</v>
      </c>
      <c r="AF181" s="13">
        <f t="shared" si="40"/>
        <v>3</v>
      </c>
      <c r="AG181" s="20">
        <f t="shared" si="32"/>
        <v>46031</v>
      </c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21"/>
      <c r="AW181" s="13"/>
      <c r="AX181" s="13"/>
      <c r="AY181" s="13"/>
      <c r="AZ181" s="13"/>
      <c r="BA181" s="13"/>
      <c r="BB181" s="13"/>
      <c r="BC181" s="13"/>
      <c r="BD181" s="13">
        <v>10.8</v>
      </c>
      <c r="BE181" s="13"/>
      <c r="BF181" s="13"/>
      <c r="BG181" s="13"/>
      <c r="BH181" s="13"/>
      <c r="BI181" s="13"/>
      <c r="BJ181" s="13"/>
      <c r="BK181" s="13"/>
      <c r="BL181" s="13"/>
      <c r="BM181" s="13">
        <f t="shared" si="33"/>
        <v>0</v>
      </c>
      <c r="BN181" s="22">
        <f t="shared" si="34"/>
        <v>10.8</v>
      </c>
      <c r="BO181" s="23" t="str">
        <f t="shared" si="35"/>
        <v>ok</v>
      </c>
      <c r="BP181" s="22">
        <f t="shared" si="36"/>
        <v>43.5</v>
      </c>
      <c r="BQ181" s="22" t="str">
        <f t="shared" si="37"/>
        <v>ok</v>
      </c>
      <c r="BR181" s="56"/>
    </row>
    <row r="182" spans="1:70" s="12" customFormat="1" ht="24.95" customHeight="1" x14ac:dyDescent="0.25">
      <c r="A182" s="4" t="s">
        <v>381</v>
      </c>
      <c r="B182" s="15" t="s">
        <v>382</v>
      </c>
      <c r="C182" s="5">
        <v>70009</v>
      </c>
      <c r="D182" s="5" t="s">
        <v>730</v>
      </c>
      <c r="E182" s="16" t="s">
        <v>908</v>
      </c>
      <c r="F182" s="16">
        <v>2</v>
      </c>
      <c r="G182" s="16">
        <v>0</v>
      </c>
      <c r="H182" s="16">
        <v>0</v>
      </c>
      <c r="I182" s="16" t="s">
        <v>15</v>
      </c>
      <c r="J182" s="17"/>
      <c r="K182" s="17"/>
      <c r="L182" s="17"/>
      <c r="M182" s="17"/>
      <c r="N182" s="17"/>
      <c r="O182" s="13"/>
      <c r="P182" s="13"/>
      <c r="Q182" s="13">
        <v>99</v>
      </c>
      <c r="R182" s="6">
        <v>86</v>
      </c>
      <c r="S182" s="7">
        <v>0.19</v>
      </c>
      <c r="T182" s="62">
        <v>33</v>
      </c>
      <c r="U182" s="16">
        <v>9.9</v>
      </c>
      <c r="V182" s="16"/>
      <c r="W182" s="16">
        <v>45</v>
      </c>
      <c r="X182" s="18">
        <v>45</v>
      </c>
      <c r="Y182" s="16">
        <f t="shared" si="38"/>
        <v>0</v>
      </c>
      <c r="Z182" s="16">
        <f t="shared" si="39"/>
        <v>9.9</v>
      </c>
      <c r="AA182" s="4">
        <v>10</v>
      </c>
      <c r="AB182" s="4">
        <v>0</v>
      </c>
      <c r="AC182" s="4">
        <v>0</v>
      </c>
      <c r="AD182" s="4">
        <v>0</v>
      </c>
      <c r="AE182" s="19">
        <v>10</v>
      </c>
      <c r="AF182" s="13">
        <f t="shared" si="40"/>
        <v>3</v>
      </c>
      <c r="AG182" s="20">
        <f t="shared" si="32"/>
        <v>46031</v>
      </c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>
        <v>9.9</v>
      </c>
      <c r="AS182" s="13"/>
      <c r="AT182" s="13"/>
      <c r="AU182" s="13"/>
      <c r="AV182" s="21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>
        <f t="shared" si="33"/>
        <v>0</v>
      </c>
      <c r="BN182" s="22">
        <f t="shared" si="34"/>
        <v>9.9</v>
      </c>
      <c r="BO182" s="23" t="str">
        <f t="shared" si="35"/>
        <v>ok</v>
      </c>
      <c r="BP182" s="22">
        <f t="shared" si="36"/>
        <v>45</v>
      </c>
      <c r="BQ182" s="22" t="str">
        <f t="shared" si="37"/>
        <v>ok</v>
      </c>
      <c r="BR182" s="56"/>
    </row>
    <row r="183" spans="1:70" s="12" customFormat="1" ht="24.95" customHeight="1" x14ac:dyDescent="0.25">
      <c r="A183" s="4" t="s">
        <v>383</v>
      </c>
      <c r="B183" s="15" t="s">
        <v>384</v>
      </c>
      <c r="C183" s="5">
        <v>70009</v>
      </c>
      <c r="D183" s="5" t="s">
        <v>730</v>
      </c>
      <c r="E183" s="16" t="s">
        <v>909</v>
      </c>
      <c r="F183" s="16">
        <v>1</v>
      </c>
      <c r="G183" s="16">
        <v>0</v>
      </c>
      <c r="H183" s="16">
        <v>0</v>
      </c>
      <c r="I183" s="16" t="s">
        <v>15</v>
      </c>
      <c r="J183" s="17"/>
      <c r="K183" s="17"/>
      <c r="L183" s="17"/>
      <c r="M183" s="17"/>
      <c r="N183" s="17"/>
      <c r="O183" s="13"/>
      <c r="P183" s="13"/>
      <c r="Q183" s="13">
        <v>72</v>
      </c>
      <c r="R183" s="6">
        <v>63</v>
      </c>
      <c r="S183" s="7">
        <v>0.19</v>
      </c>
      <c r="T183" s="62">
        <v>33</v>
      </c>
      <c r="U183" s="16">
        <v>10.8</v>
      </c>
      <c r="V183" s="16"/>
      <c r="W183" s="16">
        <v>22.5</v>
      </c>
      <c r="X183" s="18">
        <v>22.5</v>
      </c>
      <c r="Y183" s="16">
        <f t="shared" si="38"/>
        <v>0</v>
      </c>
      <c r="Z183" s="16">
        <f t="shared" si="39"/>
        <v>10.8</v>
      </c>
      <c r="AA183" s="4">
        <v>0</v>
      </c>
      <c r="AB183" s="4">
        <v>0</v>
      </c>
      <c r="AC183" s="4">
        <v>0</v>
      </c>
      <c r="AD183" s="4">
        <v>0</v>
      </c>
      <c r="AE183" s="19">
        <v>0</v>
      </c>
      <c r="AF183" s="13">
        <f t="shared" si="40"/>
        <v>3</v>
      </c>
      <c r="AG183" s="20">
        <f t="shared" si="32"/>
        <v>46031</v>
      </c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>
        <v>10.8</v>
      </c>
      <c r="AV183" s="21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>
        <f t="shared" si="33"/>
        <v>0</v>
      </c>
      <c r="BN183" s="22">
        <f t="shared" si="34"/>
        <v>10.8</v>
      </c>
      <c r="BO183" s="23" t="str">
        <f t="shared" si="35"/>
        <v>ok</v>
      </c>
      <c r="BP183" s="22">
        <f t="shared" si="36"/>
        <v>22.5</v>
      </c>
      <c r="BQ183" s="22" t="str">
        <f t="shared" si="37"/>
        <v>ok</v>
      </c>
      <c r="BR183" s="56"/>
    </row>
    <row r="184" spans="1:70" s="12" customFormat="1" ht="24.95" customHeight="1" x14ac:dyDescent="0.25">
      <c r="A184" s="4" t="s">
        <v>385</v>
      </c>
      <c r="B184" s="15" t="s">
        <v>386</v>
      </c>
      <c r="C184" s="5">
        <v>70009</v>
      </c>
      <c r="D184" s="5" t="s">
        <v>730</v>
      </c>
      <c r="E184" s="16" t="s">
        <v>910</v>
      </c>
      <c r="F184" s="16">
        <v>1</v>
      </c>
      <c r="G184" s="16">
        <v>0</v>
      </c>
      <c r="H184" s="16">
        <v>0</v>
      </c>
      <c r="I184" s="16" t="s">
        <v>15</v>
      </c>
      <c r="J184" s="17"/>
      <c r="K184" s="17"/>
      <c r="L184" s="17"/>
      <c r="M184" s="17"/>
      <c r="N184" s="17"/>
      <c r="O184" s="13"/>
      <c r="P184" s="13"/>
      <c r="Q184" s="13">
        <v>361</v>
      </c>
      <c r="R184" s="6">
        <v>324</v>
      </c>
      <c r="S184" s="7">
        <v>0.09</v>
      </c>
      <c r="T184" s="62">
        <v>33</v>
      </c>
      <c r="U184" s="16">
        <v>10.8</v>
      </c>
      <c r="V184" s="16"/>
      <c r="W184" s="16">
        <v>36</v>
      </c>
      <c r="X184" s="18">
        <v>36</v>
      </c>
      <c r="Y184" s="16">
        <f t="shared" si="38"/>
        <v>0</v>
      </c>
      <c r="Z184" s="16">
        <f t="shared" si="39"/>
        <v>10.8</v>
      </c>
      <c r="AA184" s="4">
        <v>0</v>
      </c>
      <c r="AB184" s="4">
        <v>0</v>
      </c>
      <c r="AC184" s="4">
        <v>0</v>
      </c>
      <c r="AD184" s="4">
        <v>0</v>
      </c>
      <c r="AE184" s="19">
        <v>0</v>
      </c>
      <c r="AF184" s="13">
        <f t="shared" si="40"/>
        <v>3</v>
      </c>
      <c r="AG184" s="20">
        <f t="shared" si="32"/>
        <v>46031</v>
      </c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21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>
        <v>10.8</v>
      </c>
      <c r="BL184" s="13"/>
      <c r="BM184" s="13">
        <f t="shared" si="33"/>
        <v>10.8</v>
      </c>
      <c r="BN184" s="22">
        <f t="shared" si="34"/>
        <v>0</v>
      </c>
      <c r="BO184" s="23" t="str">
        <f t="shared" si="35"/>
        <v>ok</v>
      </c>
      <c r="BP184" s="22">
        <f t="shared" si="36"/>
        <v>36</v>
      </c>
      <c r="BQ184" s="22" t="str">
        <f t="shared" si="37"/>
        <v>ok</v>
      </c>
      <c r="BR184" s="56"/>
    </row>
    <row r="185" spans="1:70" s="12" customFormat="1" ht="24.95" customHeight="1" x14ac:dyDescent="0.25">
      <c r="A185" s="4" t="s">
        <v>387</v>
      </c>
      <c r="B185" s="15" t="s">
        <v>388</v>
      </c>
      <c r="C185" s="5">
        <v>70009</v>
      </c>
      <c r="D185" s="5" t="s">
        <v>730</v>
      </c>
      <c r="E185" s="16" t="s">
        <v>911</v>
      </c>
      <c r="F185" s="16">
        <v>1</v>
      </c>
      <c r="G185" s="16">
        <v>0</v>
      </c>
      <c r="H185" s="16">
        <v>0</v>
      </c>
      <c r="I185" s="16" t="s">
        <v>15</v>
      </c>
      <c r="J185" s="17"/>
      <c r="K185" s="17"/>
      <c r="L185" s="17"/>
      <c r="M185" s="17"/>
      <c r="N185" s="17"/>
      <c r="O185" s="13"/>
      <c r="P185" s="13"/>
      <c r="Q185" s="13">
        <v>550</v>
      </c>
      <c r="R185" s="6">
        <v>478</v>
      </c>
      <c r="S185" s="7">
        <v>0.09</v>
      </c>
      <c r="T185" s="62">
        <v>33</v>
      </c>
      <c r="U185" s="16">
        <v>10.8</v>
      </c>
      <c r="V185" s="16"/>
      <c r="W185" s="16">
        <v>21</v>
      </c>
      <c r="X185" s="18">
        <v>21</v>
      </c>
      <c r="Y185" s="16">
        <f t="shared" si="38"/>
        <v>0</v>
      </c>
      <c r="Z185" s="16">
        <f t="shared" si="39"/>
        <v>10.8</v>
      </c>
      <c r="AA185" s="4">
        <v>0</v>
      </c>
      <c r="AB185" s="4">
        <v>0</v>
      </c>
      <c r="AC185" s="4">
        <v>0</v>
      </c>
      <c r="AD185" s="4">
        <v>0</v>
      </c>
      <c r="AE185" s="19">
        <v>0</v>
      </c>
      <c r="AF185" s="13">
        <f t="shared" si="40"/>
        <v>3</v>
      </c>
      <c r="AG185" s="20">
        <f t="shared" si="32"/>
        <v>46031</v>
      </c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>
        <v>10.8</v>
      </c>
      <c r="BJ185" s="13"/>
      <c r="BK185" s="13"/>
      <c r="BL185" s="13"/>
      <c r="BM185" s="13">
        <f t="shared" si="33"/>
        <v>0</v>
      </c>
      <c r="BN185" s="22">
        <f t="shared" si="34"/>
        <v>10.8</v>
      </c>
      <c r="BO185" s="23" t="str">
        <f t="shared" si="35"/>
        <v>ok</v>
      </c>
      <c r="BP185" s="22">
        <f t="shared" si="36"/>
        <v>21</v>
      </c>
      <c r="BQ185" s="22" t="str">
        <f t="shared" si="37"/>
        <v>ok</v>
      </c>
      <c r="BR185" s="56"/>
    </row>
    <row r="186" spans="1:70" s="12" customFormat="1" ht="24.95" customHeight="1" x14ac:dyDescent="0.25">
      <c r="A186" s="4" t="s">
        <v>389</v>
      </c>
      <c r="B186" s="15" t="s">
        <v>390</v>
      </c>
      <c r="C186" s="5">
        <v>70009</v>
      </c>
      <c r="D186" s="5" t="s">
        <v>730</v>
      </c>
      <c r="E186" s="16" t="s">
        <v>912</v>
      </c>
      <c r="F186" s="16">
        <v>2</v>
      </c>
      <c r="G186" s="16">
        <v>0</v>
      </c>
      <c r="H186" s="16">
        <v>0</v>
      </c>
      <c r="I186" s="16" t="s">
        <v>15</v>
      </c>
      <c r="J186" s="17"/>
      <c r="K186" s="17"/>
      <c r="L186" s="17"/>
      <c r="M186" s="17"/>
      <c r="N186" s="17"/>
      <c r="O186" s="13"/>
      <c r="P186" s="13"/>
      <c r="Q186" s="13">
        <v>23</v>
      </c>
      <c r="R186" s="6">
        <v>20</v>
      </c>
      <c r="S186" s="7">
        <v>0.18</v>
      </c>
      <c r="T186" s="62">
        <v>33</v>
      </c>
      <c r="U186" s="16">
        <v>10.8</v>
      </c>
      <c r="V186" s="16"/>
      <c r="W186" s="16">
        <v>33</v>
      </c>
      <c r="X186" s="18">
        <v>33</v>
      </c>
      <c r="Y186" s="16">
        <f t="shared" si="38"/>
        <v>0</v>
      </c>
      <c r="Z186" s="16">
        <f t="shared" si="39"/>
        <v>10.8</v>
      </c>
      <c r="AA186" s="4">
        <v>0</v>
      </c>
      <c r="AB186" s="4">
        <v>0</v>
      </c>
      <c r="AC186" s="4">
        <v>0</v>
      </c>
      <c r="AD186" s="4">
        <v>0</v>
      </c>
      <c r="AE186" s="19">
        <v>0</v>
      </c>
      <c r="AF186" s="13">
        <f t="shared" si="40"/>
        <v>3</v>
      </c>
      <c r="AG186" s="20">
        <f t="shared" si="32"/>
        <v>46031</v>
      </c>
      <c r="AH186" s="13">
        <v>10.8</v>
      </c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>
        <f t="shared" si="33"/>
        <v>0</v>
      </c>
      <c r="BN186" s="22">
        <f t="shared" si="34"/>
        <v>10.8</v>
      </c>
      <c r="BO186" s="23" t="str">
        <f t="shared" si="35"/>
        <v>ok</v>
      </c>
      <c r="BP186" s="22">
        <f t="shared" si="36"/>
        <v>33</v>
      </c>
      <c r="BQ186" s="22" t="str">
        <f t="shared" si="37"/>
        <v>ok</v>
      </c>
      <c r="BR186" s="56"/>
    </row>
    <row r="187" spans="1:70" s="12" customFormat="1" ht="24.95" customHeight="1" x14ac:dyDescent="0.25">
      <c r="A187" s="4" t="s">
        <v>391</v>
      </c>
      <c r="B187" s="15" t="s">
        <v>392</v>
      </c>
      <c r="C187" s="5">
        <v>70009</v>
      </c>
      <c r="D187" s="5" t="s">
        <v>730</v>
      </c>
      <c r="E187" s="16" t="s">
        <v>913</v>
      </c>
      <c r="F187" s="16">
        <v>1</v>
      </c>
      <c r="G187" s="16">
        <v>0</v>
      </c>
      <c r="H187" s="16">
        <v>0</v>
      </c>
      <c r="I187" s="16" t="s">
        <v>15</v>
      </c>
      <c r="J187" s="17"/>
      <c r="K187" s="17"/>
      <c r="L187" s="17"/>
      <c r="M187" s="17"/>
      <c r="N187" s="17"/>
      <c r="O187" s="13"/>
      <c r="P187" s="13"/>
      <c r="Q187" s="13">
        <v>13</v>
      </c>
      <c r="R187" s="6">
        <v>10</v>
      </c>
      <c r="S187" s="7">
        <v>0.18</v>
      </c>
      <c r="T187" s="62">
        <v>33</v>
      </c>
      <c r="U187" s="16">
        <v>10.8</v>
      </c>
      <c r="V187" s="16"/>
      <c r="W187" s="16">
        <v>52.5</v>
      </c>
      <c r="X187" s="18">
        <v>52.5</v>
      </c>
      <c r="Y187" s="16">
        <f t="shared" si="38"/>
        <v>0</v>
      </c>
      <c r="Z187" s="16">
        <f t="shared" si="39"/>
        <v>10.8</v>
      </c>
      <c r="AA187" s="4">
        <v>0</v>
      </c>
      <c r="AB187" s="4">
        <v>0</v>
      </c>
      <c r="AC187" s="4">
        <v>0</v>
      </c>
      <c r="AD187" s="4">
        <v>0</v>
      </c>
      <c r="AE187" s="28">
        <v>0</v>
      </c>
      <c r="AF187" s="13">
        <f t="shared" si="40"/>
        <v>3</v>
      </c>
      <c r="AG187" s="20">
        <f t="shared" si="32"/>
        <v>46031</v>
      </c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21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>
        <v>10.8</v>
      </c>
      <c r="BM187" s="13">
        <f t="shared" si="33"/>
        <v>10.8</v>
      </c>
      <c r="BN187" s="22">
        <f t="shared" si="34"/>
        <v>0</v>
      </c>
      <c r="BO187" s="23" t="str">
        <f t="shared" si="35"/>
        <v>ok</v>
      </c>
      <c r="BP187" s="22">
        <f t="shared" si="36"/>
        <v>52.5</v>
      </c>
      <c r="BQ187" s="22" t="str">
        <f t="shared" si="37"/>
        <v>ok</v>
      </c>
      <c r="BR187" s="56"/>
    </row>
    <row r="188" spans="1:70" s="12" customFormat="1" ht="24.95" customHeight="1" x14ac:dyDescent="0.25">
      <c r="A188" s="4" t="s">
        <v>393</v>
      </c>
      <c r="B188" s="15" t="s">
        <v>394</v>
      </c>
      <c r="C188" s="5">
        <v>70009</v>
      </c>
      <c r="D188" s="5" t="s">
        <v>730</v>
      </c>
      <c r="E188" s="16" t="s">
        <v>914</v>
      </c>
      <c r="F188" s="16">
        <v>1</v>
      </c>
      <c r="G188" s="16">
        <v>0</v>
      </c>
      <c r="H188" s="16">
        <v>0</v>
      </c>
      <c r="I188" s="16" t="s">
        <v>15</v>
      </c>
      <c r="J188" s="17"/>
      <c r="K188" s="17"/>
      <c r="L188" s="17"/>
      <c r="M188" s="17"/>
      <c r="N188" s="17"/>
      <c r="O188" s="13"/>
      <c r="P188" s="13"/>
      <c r="Q188" s="13">
        <v>47</v>
      </c>
      <c r="R188" s="6">
        <v>40</v>
      </c>
      <c r="S188" s="7">
        <v>0.18</v>
      </c>
      <c r="T188" s="62">
        <v>33</v>
      </c>
      <c r="U188" s="16">
        <v>10.8</v>
      </c>
      <c r="V188" s="16"/>
      <c r="W188" s="16">
        <v>34.5</v>
      </c>
      <c r="X188" s="18">
        <v>34.5</v>
      </c>
      <c r="Y188" s="16">
        <f t="shared" si="38"/>
        <v>0</v>
      </c>
      <c r="Z188" s="16">
        <f t="shared" si="39"/>
        <v>10.8</v>
      </c>
      <c r="AA188" s="4">
        <v>0</v>
      </c>
      <c r="AB188" s="4">
        <v>0</v>
      </c>
      <c r="AC188" s="4">
        <v>0</v>
      </c>
      <c r="AD188" s="4">
        <v>0</v>
      </c>
      <c r="AE188" s="19">
        <v>0</v>
      </c>
      <c r="AF188" s="13">
        <f t="shared" si="40"/>
        <v>3</v>
      </c>
      <c r="AG188" s="20">
        <f t="shared" si="32"/>
        <v>46031</v>
      </c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13"/>
      <c r="AZ188" s="13"/>
      <c r="BA188" s="13">
        <v>10.8</v>
      </c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>
        <f t="shared" si="33"/>
        <v>0</v>
      </c>
      <c r="BN188" s="22">
        <f t="shared" si="34"/>
        <v>10.8</v>
      </c>
      <c r="BO188" s="23" t="str">
        <f t="shared" si="35"/>
        <v>ok</v>
      </c>
      <c r="BP188" s="22">
        <f t="shared" si="36"/>
        <v>34.5</v>
      </c>
      <c r="BQ188" s="22" t="str">
        <f t="shared" si="37"/>
        <v>ok</v>
      </c>
      <c r="BR188" s="56"/>
    </row>
    <row r="189" spans="1:70" s="12" customFormat="1" ht="24.95" customHeight="1" x14ac:dyDescent="0.25">
      <c r="A189" s="4" t="s">
        <v>395</v>
      </c>
      <c r="B189" s="15" t="s">
        <v>396</v>
      </c>
      <c r="C189" s="5">
        <v>70009</v>
      </c>
      <c r="D189" s="5" t="s">
        <v>730</v>
      </c>
      <c r="E189" s="16" t="s">
        <v>915</v>
      </c>
      <c r="F189" s="16">
        <v>2</v>
      </c>
      <c r="G189" s="16">
        <v>0</v>
      </c>
      <c r="H189" s="16">
        <v>0</v>
      </c>
      <c r="I189" s="16" t="s">
        <v>15</v>
      </c>
      <c r="J189" s="17"/>
      <c r="K189" s="17"/>
      <c r="L189" s="17"/>
      <c r="M189" s="17"/>
      <c r="N189" s="17"/>
      <c r="O189" s="13"/>
      <c r="P189" s="13"/>
      <c r="Q189" s="13">
        <v>63</v>
      </c>
      <c r="R189" s="6">
        <v>54</v>
      </c>
      <c r="S189" s="7">
        <v>0.09</v>
      </c>
      <c r="T189" s="62">
        <v>33</v>
      </c>
      <c r="U189" s="16">
        <v>10.8</v>
      </c>
      <c r="V189" s="16"/>
      <c r="W189" s="16">
        <v>37.5</v>
      </c>
      <c r="X189" s="18">
        <v>37.5</v>
      </c>
      <c r="Y189" s="16">
        <f t="shared" si="38"/>
        <v>0</v>
      </c>
      <c r="Z189" s="16">
        <f t="shared" si="39"/>
        <v>10.8</v>
      </c>
      <c r="AA189" s="4">
        <v>0</v>
      </c>
      <c r="AB189" s="4">
        <v>0</v>
      </c>
      <c r="AC189" s="4">
        <v>0</v>
      </c>
      <c r="AD189" s="4">
        <v>0</v>
      </c>
      <c r="AE189" s="19">
        <v>0</v>
      </c>
      <c r="AF189" s="13">
        <f t="shared" si="40"/>
        <v>3</v>
      </c>
      <c r="AG189" s="20">
        <f t="shared" si="32"/>
        <v>46031</v>
      </c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21"/>
      <c r="AW189" s="13"/>
      <c r="AX189" s="13"/>
      <c r="AY189" s="13">
        <v>10.8</v>
      </c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>
        <f t="shared" si="33"/>
        <v>0</v>
      </c>
      <c r="BN189" s="22">
        <f t="shared" si="34"/>
        <v>10.8</v>
      </c>
      <c r="BO189" s="23" t="str">
        <f t="shared" si="35"/>
        <v>ok</v>
      </c>
      <c r="BP189" s="22">
        <f t="shared" si="36"/>
        <v>37.5</v>
      </c>
      <c r="BQ189" s="22" t="str">
        <f t="shared" si="37"/>
        <v>ok</v>
      </c>
      <c r="BR189" s="56"/>
    </row>
    <row r="190" spans="1:70" s="12" customFormat="1" ht="24.95" customHeight="1" x14ac:dyDescent="0.25">
      <c r="A190" s="4" t="s">
        <v>397</v>
      </c>
      <c r="B190" s="15" t="s">
        <v>398</v>
      </c>
      <c r="C190" s="5">
        <v>70009</v>
      </c>
      <c r="D190" s="5" t="s">
        <v>730</v>
      </c>
      <c r="E190" s="16" t="s">
        <v>916</v>
      </c>
      <c r="F190" s="16">
        <v>2</v>
      </c>
      <c r="G190" s="16">
        <v>0</v>
      </c>
      <c r="H190" s="16">
        <v>0</v>
      </c>
      <c r="I190" s="16" t="s">
        <v>15</v>
      </c>
      <c r="J190" s="17"/>
      <c r="K190" s="17"/>
      <c r="L190" s="17"/>
      <c r="M190" s="17"/>
      <c r="N190" s="17"/>
      <c r="O190" s="13"/>
      <c r="P190" s="13"/>
      <c r="Q190" s="13">
        <v>166</v>
      </c>
      <c r="R190" s="6">
        <v>144</v>
      </c>
      <c r="S190" s="7">
        <v>0.09</v>
      </c>
      <c r="T190" s="62">
        <v>33</v>
      </c>
      <c r="U190" s="16">
        <v>10.8</v>
      </c>
      <c r="V190" s="16"/>
      <c r="W190" s="16">
        <v>22.5</v>
      </c>
      <c r="X190" s="18">
        <v>22.5</v>
      </c>
      <c r="Y190" s="16">
        <f t="shared" si="38"/>
        <v>0</v>
      </c>
      <c r="Z190" s="16">
        <f t="shared" si="39"/>
        <v>10.8</v>
      </c>
      <c r="AA190" s="4">
        <v>0</v>
      </c>
      <c r="AB190" s="4">
        <v>0</v>
      </c>
      <c r="AC190" s="4">
        <v>0</v>
      </c>
      <c r="AD190" s="4">
        <v>0</v>
      </c>
      <c r="AE190" s="19">
        <v>0</v>
      </c>
      <c r="AF190" s="13">
        <f t="shared" si="40"/>
        <v>3</v>
      </c>
      <c r="AG190" s="20">
        <f t="shared" si="32"/>
        <v>46031</v>
      </c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21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>
        <v>10.8</v>
      </c>
      <c r="BH190" s="13"/>
      <c r="BI190" s="13"/>
      <c r="BJ190" s="13"/>
      <c r="BK190" s="13"/>
      <c r="BL190" s="13"/>
      <c r="BM190" s="13">
        <f t="shared" si="33"/>
        <v>0</v>
      </c>
      <c r="BN190" s="22">
        <f t="shared" si="34"/>
        <v>10.8</v>
      </c>
      <c r="BO190" s="23" t="str">
        <f t="shared" si="35"/>
        <v>ok</v>
      </c>
      <c r="BP190" s="22">
        <f t="shared" si="36"/>
        <v>22.5</v>
      </c>
      <c r="BQ190" s="22" t="str">
        <f t="shared" si="37"/>
        <v>ok</v>
      </c>
      <c r="BR190" s="56"/>
    </row>
    <row r="191" spans="1:70" s="12" customFormat="1" ht="24.95" customHeight="1" x14ac:dyDescent="0.25">
      <c r="A191" s="4" t="s">
        <v>399</v>
      </c>
      <c r="B191" s="15" t="s">
        <v>400</v>
      </c>
      <c r="C191" s="5">
        <v>70009</v>
      </c>
      <c r="D191" s="5" t="s">
        <v>730</v>
      </c>
      <c r="E191" s="16" t="s">
        <v>917</v>
      </c>
      <c r="F191" s="16">
        <v>1</v>
      </c>
      <c r="G191" s="16">
        <v>0</v>
      </c>
      <c r="H191" s="16">
        <v>0</v>
      </c>
      <c r="I191" s="16" t="s">
        <v>15</v>
      </c>
      <c r="J191" s="17"/>
      <c r="K191" s="17"/>
      <c r="L191" s="17"/>
      <c r="M191" s="17"/>
      <c r="N191" s="17"/>
      <c r="O191" s="13"/>
      <c r="P191" s="13"/>
      <c r="Q191" s="13">
        <v>135</v>
      </c>
      <c r="R191" s="6">
        <v>115</v>
      </c>
      <c r="S191" s="7">
        <v>0.09</v>
      </c>
      <c r="T191" s="62">
        <v>33</v>
      </c>
      <c r="U191" s="16">
        <v>10.8</v>
      </c>
      <c r="V191" s="16"/>
      <c r="W191" s="16">
        <v>36</v>
      </c>
      <c r="X191" s="18">
        <v>36</v>
      </c>
      <c r="Y191" s="16">
        <f t="shared" si="38"/>
        <v>0</v>
      </c>
      <c r="Z191" s="16">
        <f t="shared" si="39"/>
        <v>10.8</v>
      </c>
      <c r="AA191" s="4">
        <v>12</v>
      </c>
      <c r="AB191" s="4">
        <v>0</v>
      </c>
      <c r="AC191" s="4">
        <v>0</v>
      </c>
      <c r="AD191" s="4">
        <v>0</v>
      </c>
      <c r="AE191" s="19">
        <v>12</v>
      </c>
      <c r="AF191" s="13">
        <f t="shared" si="40"/>
        <v>3</v>
      </c>
      <c r="AG191" s="20">
        <f t="shared" si="32"/>
        <v>46031</v>
      </c>
      <c r="AH191" s="24"/>
      <c r="AI191" s="24"/>
      <c r="AJ191" s="24"/>
      <c r="AK191" s="24"/>
      <c r="AL191" s="24"/>
      <c r="AM191" s="24"/>
      <c r="AN191" s="24">
        <v>10.8</v>
      </c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>
        <f t="shared" si="33"/>
        <v>0</v>
      </c>
      <c r="BN191" s="22">
        <f t="shared" si="34"/>
        <v>10.8</v>
      </c>
      <c r="BO191" s="23" t="str">
        <f t="shared" si="35"/>
        <v>ok</v>
      </c>
      <c r="BP191" s="22">
        <f t="shared" si="36"/>
        <v>36</v>
      </c>
      <c r="BQ191" s="22" t="str">
        <f t="shared" si="37"/>
        <v>ok</v>
      </c>
      <c r="BR191" s="56"/>
    </row>
    <row r="192" spans="1:70" s="12" customFormat="1" ht="24.95" customHeight="1" x14ac:dyDescent="0.25">
      <c r="A192" s="4" t="s">
        <v>401</v>
      </c>
      <c r="B192" s="15" t="s">
        <v>402</v>
      </c>
      <c r="C192" s="5">
        <v>70010</v>
      </c>
      <c r="D192" s="5" t="s">
        <v>730</v>
      </c>
      <c r="E192" s="16" t="s">
        <v>918</v>
      </c>
      <c r="F192" s="16">
        <v>2</v>
      </c>
      <c r="G192" s="16">
        <v>0</v>
      </c>
      <c r="H192" s="16">
        <v>0</v>
      </c>
      <c r="I192" s="16" t="s">
        <v>15</v>
      </c>
      <c r="J192" s="17"/>
      <c r="K192" s="17"/>
      <c r="L192" s="17"/>
      <c r="M192" s="17"/>
      <c r="N192" s="17"/>
      <c r="O192" s="13"/>
      <c r="P192" s="13"/>
      <c r="Q192" s="13">
        <v>93</v>
      </c>
      <c r="R192" s="6">
        <v>79</v>
      </c>
      <c r="S192" s="7">
        <v>0.09</v>
      </c>
      <c r="T192" s="62">
        <v>33</v>
      </c>
      <c r="U192" s="16">
        <v>9.9</v>
      </c>
      <c r="V192" s="16"/>
      <c r="W192" s="16">
        <v>75</v>
      </c>
      <c r="X192" s="18">
        <v>75</v>
      </c>
      <c r="Y192" s="16">
        <f t="shared" si="38"/>
        <v>0</v>
      </c>
      <c r="Z192" s="16">
        <f t="shared" si="39"/>
        <v>9.9</v>
      </c>
      <c r="AA192" s="4">
        <v>0</v>
      </c>
      <c r="AB192" s="4">
        <v>0</v>
      </c>
      <c r="AC192" s="4">
        <v>0</v>
      </c>
      <c r="AD192" s="4">
        <v>0</v>
      </c>
      <c r="AE192" s="19">
        <v>0</v>
      </c>
      <c r="AF192" s="13">
        <f t="shared" si="40"/>
        <v>3</v>
      </c>
      <c r="AG192" s="20">
        <f t="shared" si="32"/>
        <v>46031</v>
      </c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>
        <v>9.9</v>
      </c>
      <c r="AX192" s="24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>
        <f t="shared" si="33"/>
        <v>0</v>
      </c>
      <c r="BN192" s="22">
        <f t="shared" si="34"/>
        <v>9.9</v>
      </c>
      <c r="BO192" s="23" t="str">
        <f t="shared" si="35"/>
        <v>ok</v>
      </c>
      <c r="BP192" s="22">
        <f t="shared" si="36"/>
        <v>75</v>
      </c>
      <c r="BQ192" s="22" t="str">
        <f t="shared" si="37"/>
        <v>ok</v>
      </c>
      <c r="BR192" s="56"/>
    </row>
    <row r="193" spans="1:70" s="12" customFormat="1" ht="24.95" customHeight="1" x14ac:dyDescent="0.25">
      <c r="A193" s="4" t="s">
        <v>403</v>
      </c>
      <c r="B193" s="15" t="s">
        <v>404</v>
      </c>
      <c r="C193" s="5">
        <v>70010</v>
      </c>
      <c r="D193" s="5" t="s">
        <v>730</v>
      </c>
      <c r="E193" s="16" t="s">
        <v>919</v>
      </c>
      <c r="F193" s="16">
        <v>1</v>
      </c>
      <c r="G193" s="16">
        <v>0</v>
      </c>
      <c r="H193" s="16">
        <v>0</v>
      </c>
      <c r="I193" s="16" t="s">
        <v>15</v>
      </c>
      <c r="J193" s="17"/>
      <c r="K193" s="17"/>
      <c r="L193" s="17"/>
      <c r="M193" s="17"/>
      <c r="N193" s="17"/>
      <c r="O193" s="13"/>
      <c r="P193" s="13"/>
      <c r="Q193" s="13">
        <v>19</v>
      </c>
      <c r="R193" s="6">
        <v>16</v>
      </c>
      <c r="S193" s="7">
        <v>0.19</v>
      </c>
      <c r="T193" s="62">
        <v>33</v>
      </c>
      <c r="U193" s="16">
        <v>10.8</v>
      </c>
      <c r="V193" s="16"/>
      <c r="W193" s="16">
        <v>31.5</v>
      </c>
      <c r="X193" s="18">
        <v>31.5</v>
      </c>
      <c r="Y193" s="16">
        <f t="shared" si="38"/>
        <v>0</v>
      </c>
      <c r="Z193" s="16">
        <f t="shared" si="39"/>
        <v>10.8</v>
      </c>
      <c r="AA193" s="4">
        <v>0</v>
      </c>
      <c r="AB193" s="4">
        <v>0</v>
      </c>
      <c r="AC193" s="4">
        <v>0</v>
      </c>
      <c r="AD193" s="4">
        <v>0</v>
      </c>
      <c r="AE193" s="19">
        <v>0</v>
      </c>
      <c r="AF193" s="13">
        <f t="shared" si="40"/>
        <v>3</v>
      </c>
      <c r="AG193" s="20">
        <f t="shared" si="32"/>
        <v>46031</v>
      </c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>
        <v>10.8</v>
      </c>
      <c r="AU193" s="13"/>
      <c r="AV193" s="21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>
        <f t="shared" si="33"/>
        <v>0</v>
      </c>
      <c r="BN193" s="22">
        <f t="shared" si="34"/>
        <v>10.8</v>
      </c>
      <c r="BO193" s="23" t="str">
        <f t="shared" si="35"/>
        <v>ok</v>
      </c>
      <c r="BP193" s="22">
        <f t="shared" si="36"/>
        <v>31.5</v>
      </c>
      <c r="BQ193" s="22" t="str">
        <f t="shared" si="37"/>
        <v>ok</v>
      </c>
      <c r="BR193" s="56"/>
    </row>
    <row r="194" spans="1:70" s="12" customFormat="1" ht="24.95" customHeight="1" x14ac:dyDescent="0.25">
      <c r="A194" s="4" t="s">
        <v>405</v>
      </c>
      <c r="B194" s="15" t="s">
        <v>406</v>
      </c>
      <c r="C194" s="5">
        <v>70010</v>
      </c>
      <c r="D194" s="5" t="s">
        <v>730</v>
      </c>
      <c r="E194" s="16" t="s">
        <v>920</v>
      </c>
      <c r="F194" s="16">
        <v>1</v>
      </c>
      <c r="G194" s="16">
        <v>0</v>
      </c>
      <c r="H194" s="16">
        <v>0</v>
      </c>
      <c r="I194" s="16" t="s">
        <v>15</v>
      </c>
      <c r="J194" s="17"/>
      <c r="K194" s="17"/>
      <c r="L194" s="17"/>
      <c r="M194" s="17"/>
      <c r="N194" s="17"/>
      <c r="O194" s="13"/>
      <c r="P194" s="13"/>
      <c r="Q194" s="13">
        <v>11</v>
      </c>
      <c r="R194" s="6">
        <v>8</v>
      </c>
      <c r="S194" s="7">
        <v>0.19</v>
      </c>
      <c r="T194" s="62">
        <v>33</v>
      </c>
      <c r="U194" s="16">
        <v>10.8</v>
      </c>
      <c r="V194" s="16"/>
      <c r="W194" s="16">
        <v>30</v>
      </c>
      <c r="X194" s="18">
        <v>30</v>
      </c>
      <c r="Y194" s="16">
        <f t="shared" si="38"/>
        <v>0</v>
      </c>
      <c r="Z194" s="16">
        <f t="shared" si="39"/>
        <v>10.8</v>
      </c>
      <c r="AA194" s="4">
        <v>0</v>
      </c>
      <c r="AB194" s="4">
        <v>0</v>
      </c>
      <c r="AC194" s="4">
        <v>0</v>
      </c>
      <c r="AD194" s="4">
        <v>0</v>
      </c>
      <c r="AE194" s="19">
        <v>0</v>
      </c>
      <c r="AF194" s="13">
        <f t="shared" si="40"/>
        <v>3</v>
      </c>
      <c r="AG194" s="20">
        <f t="shared" si="32"/>
        <v>46031</v>
      </c>
      <c r="AH194" s="13"/>
      <c r="AI194" s="13"/>
      <c r="AJ194" s="13"/>
      <c r="AK194" s="13">
        <v>10.8</v>
      </c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>
        <f t="shared" si="33"/>
        <v>0</v>
      </c>
      <c r="BN194" s="22">
        <f t="shared" si="34"/>
        <v>10.8</v>
      </c>
      <c r="BO194" s="23" t="str">
        <f t="shared" si="35"/>
        <v>ok</v>
      </c>
      <c r="BP194" s="22">
        <f t="shared" si="36"/>
        <v>30</v>
      </c>
      <c r="BQ194" s="22" t="str">
        <f t="shared" si="37"/>
        <v>ok</v>
      </c>
      <c r="BR194" s="56"/>
    </row>
    <row r="195" spans="1:70" s="12" customFormat="1" ht="24.95" customHeight="1" x14ac:dyDescent="0.25">
      <c r="A195" s="4" t="s">
        <v>407</v>
      </c>
      <c r="B195" s="15" t="s">
        <v>408</v>
      </c>
      <c r="C195" s="5">
        <v>70010</v>
      </c>
      <c r="D195" s="5" t="s">
        <v>730</v>
      </c>
      <c r="E195" s="16" t="s">
        <v>921</v>
      </c>
      <c r="F195" s="16">
        <v>1</v>
      </c>
      <c r="G195" s="16">
        <v>0</v>
      </c>
      <c r="H195" s="16">
        <v>0</v>
      </c>
      <c r="I195" s="16" t="s">
        <v>15</v>
      </c>
      <c r="J195" s="17"/>
      <c r="K195" s="17"/>
      <c r="L195" s="17"/>
      <c r="M195" s="17"/>
      <c r="N195" s="17"/>
      <c r="O195" s="13"/>
      <c r="P195" s="13"/>
      <c r="Q195" s="13">
        <v>14</v>
      </c>
      <c r="R195" s="6">
        <v>11</v>
      </c>
      <c r="S195" s="7">
        <v>0.09</v>
      </c>
      <c r="T195" s="62">
        <v>33</v>
      </c>
      <c r="U195" s="16">
        <v>9.9</v>
      </c>
      <c r="V195" s="16"/>
      <c r="W195" s="16">
        <v>24</v>
      </c>
      <c r="X195" s="18">
        <v>24</v>
      </c>
      <c r="Y195" s="16">
        <f t="shared" si="38"/>
        <v>0</v>
      </c>
      <c r="Z195" s="16">
        <f t="shared" si="39"/>
        <v>9.9</v>
      </c>
      <c r="AA195" s="4">
        <v>0</v>
      </c>
      <c r="AB195" s="4">
        <v>0</v>
      </c>
      <c r="AC195" s="4">
        <v>0</v>
      </c>
      <c r="AD195" s="4">
        <v>0</v>
      </c>
      <c r="AE195" s="19">
        <v>0</v>
      </c>
      <c r="AF195" s="13">
        <f t="shared" si="40"/>
        <v>3</v>
      </c>
      <c r="AG195" s="20">
        <f t="shared" si="32"/>
        <v>46031</v>
      </c>
      <c r="AH195" s="13"/>
      <c r="AI195" s="13"/>
      <c r="AJ195" s="13"/>
      <c r="AK195" s="13"/>
      <c r="AL195" s="13"/>
      <c r="AM195" s="13"/>
      <c r="AN195" s="13"/>
      <c r="AO195" s="13"/>
      <c r="AP195" s="13"/>
      <c r="AQ195" s="13">
        <v>9.9</v>
      </c>
      <c r="AR195" s="13"/>
      <c r="AS195" s="13"/>
      <c r="AT195" s="13"/>
      <c r="AU195" s="13"/>
      <c r="AV195" s="21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>
        <f t="shared" si="33"/>
        <v>0</v>
      </c>
      <c r="BN195" s="22">
        <f t="shared" si="34"/>
        <v>9.9</v>
      </c>
      <c r="BO195" s="23" t="str">
        <f t="shared" si="35"/>
        <v>ok</v>
      </c>
      <c r="BP195" s="22">
        <f t="shared" si="36"/>
        <v>24</v>
      </c>
      <c r="BQ195" s="22" t="str">
        <f t="shared" si="37"/>
        <v>ok</v>
      </c>
      <c r="BR195" s="56"/>
    </row>
    <row r="196" spans="1:70" s="12" customFormat="1" ht="24.95" customHeight="1" x14ac:dyDescent="0.25">
      <c r="A196" s="4" t="s">
        <v>409</v>
      </c>
      <c r="B196" s="15" t="s">
        <v>410</v>
      </c>
      <c r="C196" s="5">
        <v>70010</v>
      </c>
      <c r="D196" s="5" t="s">
        <v>730</v>
      </c>
      <c r="E196" s="16" t="s">
        <v>922</v>
      </c>
      <c r="F196" s="16">
        <v>1</v>
      </c>
      <c r="G196" s="16">
        <v>0</v>
      </c>
      <c r="H196" s="16">
        <v>0</v>
      </c>
      <c r="I196" s="16" t="s">
        <v>15</v>
      </c>
      <c r="J196" s="17"/>
      <c r="K196" s="17"/>
      <c r="L196" s="17"/>
      <c r="M196" s="17"/>
      <c r="N196" s="17"/>
      <c r="O196" s="13"/>
      <c r="P196" s="13"/>
      <c r="Q196" s="13">
        <v>16</v>
      </c>
      <c r="R196" s="6">
        <v>13</v>
      </c>
      <c r="S196" s="7">
        <v>0.19</v>
      </c>
      <c r="T196" s="62">
        <v>33</v>
      </c>
      <c r="U196" s="16">
        <v>10.8</v>
      </c>
      <c r="V196" s="16"/>
      <c r="W196" s="16">
        <v>34.5</v>
      </c>
      <c r="X196" s="18">
        <v>34.5</v>
      </c>
      <c r="Y196" s="16">
        <f t="shared" si="38"/>
        <v>0</v>
      </c>
      <c r="Z196" s="16">
        <f t="shared" si="39"/>
        <v>10.8</v>
      </c>
      <c r="AA196" s="4">
        <v>0</v>
      </c>
      <c r="AB196" s="4">
        <v>0</v>
      </c>
      <c r="AC196" s="4">
        <v>0</v>
      </c>
      <c r="AD196" s="4">
        <v>0</v>
      </c>
      <c r="AE196" s="19">
        <v>0</v>
      </c>
      <c r="AF196" s="13">
        <f t="shared" si="40"/>
        <v>3</v>
      </c>
      <c r="AG196" s="20">
        <f t="shared" si="32"/>
        <v>46031</v>
      </c>
      <c r="AH196" s="13"/>
      <c r="AI196" s="13"/>
      <c r="AJ196" s="13"/>
      <c r="AK196" s="13"/>
      <c r="AL196" s="13"/>
      <c r="AM196" s="13"/>
      <c r="AN196" s="13"/>
      <c r="AO196" s="13"/>
      <c r="AP196" s="13">
        <v>10.8</v>
      </c>
      <c r="AQ196" s="13"/>
      <c r="AR196" s="13"/>
      <c r="AS196" s="13"/>
      <c r="AT196" s="13"/>
      <c r="AU196" s="13"/>
      <c r="AV196" s="21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>
        <f t="shared" si="33"/>
        <v>0</v>
      </c>
      <c r="BN196" s="22">
        <f t="shared" si="34"/>
        <v>10.8</v>
      </c>
      <c r="BO196" s="23" t="str">
        <f t="shared" si="35"/>
        <v>ok</v>
      </c>
      <c r="BP196" s="22">
        <f t="shared" si="36"/>
        <v>34.5</v>
      </c>
      <c r="BQ196" s="22" t="str">
        <f t="shared" si="37"/>
        <v>ok</v>
      </c>
      <c r="BR196" s="56"/>
    </row>
    <row r="197" spans="1:70" s="12" customFormat="1" ht="24.95" customHeight="1" x14ac:dyDescent="0.25">
      <c r="A197" s="4" t="s">
        <v>411</v>
      </c>
      <c r="B197" s="15" t="s">
        <v>412</v>
      </c>
      <c r="C197" s="5">
        <v>70010</v>
      </c>
      <c r="D197" s="5" t="s">
        <v>730</v>
      </c>
      <c r="E197" s="16" t="s">
        <v>923</v>
      </c>
      <c r="F197" s="16">
        <v>1</v>
      </c>
      <c r="G197" s="16">
        <v>0</v>
      </c>
      <c r="H197" s="16">
        <v>0</v>
      </c>
      <c r="I197" s="16" t="s">
        <v>15</v>
      </c>
      <c r="J197" s="17"/>
      <c r="K197" s="17"/>
      <c r="L197" s="17"/>
      <c r="M197" s="17"/>
      <c r="N197" s="17"/>
      <c r="O197" s="13"/>
      <c r="P197" s="13"/>
      <c r="Q197" s="13">
        <v>11</v>
      </c>
      <c r="R197" s="6">
        <v>8</v>
      </c>
      <c r="S197" s="7">
        <v>0.19</v>
      </c>
      <c r="T197" s="62">
        <v>33</v>
      </c>
      <c r="U197" s="16">
        <v>16.2</v>
      </c>
      <c r="V197" s="16"/>
      <c r="W197" s="16">
        <v>63</v>
      </c>
      <c r="X197" s="18">
        <v>63</v>
      </c>
      <c r="Y197" s="16">
        <f t="shared" si="38"/>
        <v>0</v>
      </c>
      <c r="Z197" s="16">
        <f t="shared" si="39"/>
        <v>16.2</v>
      </c>
      <c r="AA197" s="4">
        <v>0</v>
      </c>
      <c r="AB197" s="4">
        <v>0</v>
      </c>
      <c r="AC197" s="4">
        <v>0</v>
      </c>
      <c r="AD197" s="4">
        <v>0</v>
      </c>
      <c r="AE197" s="19">
        <v>0</v>
      </c>
      <c r="AF197" s="13">
        <f t="shared" si="40"/>
        <v>3</v>
      </c>
      <c r="AG197" s="20">
        <f t="shared" si="32"/>
        <v>46031</v>
      </c>
      <c r="AH197" s="24"/>
      <c r="AI197" s="24"/>
      <c r="AJ197" s="24"/>
      <c r="AK197" s="24"/>
      <c r="AL197" s="24"/>
      <c r="AM197" s="24"/>
      <c r="AN197" s="24">
        <v>16.2</v>
      </c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>
        <f t="shared" si="33"/>
        <v>0</v>
      </c>
      <c r="BN197" s="22">
        <f t="shared" si="34"/>
        <v>16.2</v>
      </c>
      <c r="BO197" s="23" t="str">
        <f t="shared" si="35"/>
        <v>ok</v>
      </c>
      <c r="BP197" s="22">
        <f t="shared" si="36"/>
        <v>63</v>
      </c>
      <c r="BQ197" s="22" t="str">
        <f t="shared" si="37"/>
        <v>ok</v>
      </c>
      <c r="BR197" s="56"/>
    </row>
    <row r="198" spans="1:70" s="12" customFormat="1" ht="24.95" customHeight="1" x14ac:dyDescent="0.25">
      <c r="A198" s="4" t="s">
        <v>413</v>
      </c>
      <c r="B198" s="15" t="s">
        <v>414</v>
      </c>
      <c r="C198" s="5">
        <v>70010</v>
      </c>
      <c r="D198" s="5" t="s">
        <v>730</v>
      </c>
      <c r="E198" s="16" t="s">
        <v>924</v>
      </c>
      <c r="F198" s="16">
        <v>1</v>
      </c>
      <c r="G198" s="16">
        <v>0</v>
      </c>
      <c r="H198" s="16">
        <v>0</v>
      </c>
      <c r="I198" s="16" t="s">
        <v>15</v>
      </c>
      <c r="J198" s="17"/>
      <c r="K198" s="17"/>
      <c r="L198" s="17"/>
      <c r="M198" s="17"/>
      <c r="N198" s="17"/>
      <c r="O198" s="13"/>
      <c r="P198" s="13"/>
      <c r="Q198" s="13">
        <v>36</v>
      </c>
      <c r="R198" s="6">
        <v>31</v>
      </c>
      <c r="S198" s="7">
        <v>0.19</v>
      </c>
      <c r="T198" s="62">
        <v>33</v>
      </c>
      <c r="U198" s="16">
        <v>9</v>
      </c>
      <c r="V198" s="16"/>
      <c r="W198" s="16">
        <v>31.5</v>
      </c>
      <c r="X198" s="18">
        <v>31.5</v>
      </c>
      <c r="Y198" s="16">
        <f t="shared" si="38"/>
        <v>0</v>
      </c>
      <c r="Z198" s="16">
        <f t="shared" si="39"/>
        <v>9</v>
      </c>
      <c r="AA198" s="4">
        <v>0</v>
      </c>
      <c r="AB198" s="4">
        <v>0</v>
      </c>
      <c r="AC198" s="4">
        <v>0</v>
      </c>
      <c r="AD198" s="4">
        <v>0</v>
      </c>
      <c r="AE198" s="19">
        <v>0</v>
      </c>
      <c r="AF198" s="13">
        <f t="shared" si="40"/>
        <v>3</v>
      </c>
      <c r="AG198" s="20">
        <f t="shared" si="32"/>
        <v>46031</v>
      </c>
      <c r="AH198" s="13"/>
      <c r="AI198" s="13"/>
      <c r="AJ198" s="13"/>
      <c r="AK198" s="13"/>
      <c r="AL198" s="13"/>
      <c r="AM198" s="13"/>
      <c r="AN198" s="13">
        <v>9</v>
      </c>
      <c r="AO198" s="13"/>
      <c r="AP198" s="13"/>
      <c r="AQ198" s="13"/>
      <c r="AR198" s="13"/>
      <c r="AS198" s="13"/>
      <c r="AT198" s="13"/>
      <c r="AU198" s="13"/>
      <c r="AV198" s="21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>
        <f t="shared" si="33"/>
        <v>0</v>
      </c>
      <c r="BN198" s="22">
        <f t="shared" si="34"/>
        <v>9</v>
      </c>
      <c r="BO198" s="23" t="str">
        <f t="shared" si="35"/>
        <v>ok</v>
      </c>
      <c r="BP198" s="22">
        <f t="shared" si="36"/>
        <v>31.5</v>
      </c>
      <c r="BQ198" s="22" t="str">
        <f t="shared" si="37"/>
        <v>ok</v>
      </c>
      <c r="BR198" s="56"/>
    </row>
    <row r="199" spans="1:70" s="12" customFormat="1" ht="24.95" customHeight="1" x14ac:dyDescent="0.25">
      <c r="A199" s="4" t="s">
        <v>415</v>
      </c>
      <c r="B199" s="15" t="s">
        <v>416</v>
      </c>
      <c r="C199" s="5">
        <v>70010</v>
      </c>
      <c r="D199" s="5" t="s">
        <v>730</v>
      </c>
      <c r="E199" s="16" t="s">
        <v>925</v>
      </c>
      <c r="F199" s="16">
        <v>1</v>
      </c>
      <c r="G199" s="16">
        <v>0</v>
      </c>
      <c r="H199" s="16">
        <v>0</v>
      </c>
      <c r="I199" s="16" t="s">
        <v>15</v>
      </c>
      <c r="J199" s="17"/>
      <c r="K199" s="17"/>
      <c r="L199" s="17"/>
      <c r="M199" s="17"/>
      <c r="N199" s="17"/>
      <c r="O199" s="13"/>
      <c r="P199" s="13"/>
      <c r="Q199" s="13">
        <v>38</v>
      </c>
      <c r="R199" s="6">
        <v>90</v>
      </c>
      <c r="S199" s="7">
        <v>0.08</v>
      </c>
      <c r="T199" s="62">
        <v>33</v>
      </c>
      <c r="U199" s="16">
        <v>9.9</v>
      </c>
      <c r="V199" s="16"/>
      <c r="W199" s="16">
        <v>22.5</v>
      </c>
      <c r="X199" s="18">
        <v>22.5</v>
      </c>
      <c r="Y199" s="16">
        <f t="shared" si="38"/>
        <v>0</v>
      </c>
      <c r="Z199" s="16">
        <f t="shared" si="39"/>
        <v>9.9</v>
      </c>
      <c r="AA199" s="4">
        <v>33</v>
      </c>
      <c r="AB199" s="4">
        <v>10</v>
      </c>
      <c r="AC199" s="4">
        <v>0</v>
      </c>
      <c r="AD199" s="4">
        <v>33</v>
      </c>
      <c r="AE199" s="19">
        <v>76</v>
      </c>
      <c r="AF199" s="13">
        <f t="shared" si="40"/>
        <v>3</v>
      </c>
      <c r="AG199" s="20">
        <f t="shared" si="32"/>
        <v>46034</v>
      </c>
      <c r="AH199" s="13"/>
      <c r="AI199" s="13"/>
      <c r="AJ199" s="13"/>
      <c r="AK199" s="13"/>
      <c r="AL199" s="13"/>
      <c r="AM199" s="13"/>
      <c r="AN199" s="13"/>
      <c r="AO199" s="13">
        <v>9.9</v>
      </c>
      <c r="AP199" s="13"/>
      <c r="AQ199" s="13"/>
      <c r="AR199" s="13"/>
      <c r="AS199" s="13"/>
      <c r="AT199" s="13"/>
      <c r="AU199" s="13"/>
      <c r="AV199" s="21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>
        <f t="shared" si="33"/>
        <v>0</v>
      </c>
      <c r="BN199" s="22">
        <f t="shared" si="34"/>
        <v>9.9</v>
      </c>
      <c r="BO199" s="23" t="str">
        <f t="shared" si="35"/>
        <v>ok</v>
      </c>
      <c r="BP199" s="22">
        <f t="shared" si="36"/>
        <v>22.5</v>
      </c>
      <c r="BQ199" s="22" t="str">
        <f t="shared" si="37"/>
        <v>ok</v>
      </c>
      <c r="BR199" s="56"/>
    </row>
    <row r="200" spans="1:70" s="12" customFormat="1" ht="24.95" customHeight="1" x14ac:dyDescent="0.25">
      <c r="A200" s="4" t="s">
        <v>417</v>
      </c>
      <c r="B200" s="15" t="s">
        <v>418</v>
      </c>
      <c r="C200" s="5">
        <v>70010</v>
      </c>
      <c r="D200" s="5" t="s">
        <v>730</v>
      </c>
      <c r="E200" s="16" t="s">
        <v>926</v>
      </c>
      <c r="F200" s="16">
        <v>2</v>
      </c>
      <c r="G200" s="16">
        <v>0</v>
      </c>
      <c r="H200" s="16">
        <v>0</v>
      </c>
      <c r="I200" s="16" t="s">
        <v>15</v>
      </c>
      <c r="J200" s="17"/>
      <c r="K200" s="17"/>
      <c r="L200" s="17"/>
      <c r="M200" s="17"/>
      <c r="N200" s="17"/>
      <c r="O200" s="13"/>
      <c r="P200" s="13"/>
      <c r="Q200" s="13">
        <v>16</v>
      </c>
      <c r="R200" s="6">
        <v>13</v>
      </c>
      <c r="S200" s="7">
        <v>0.19</v>
      </c>
      <c r="T200" s="62">
        <v>33</v>
      </c>
      <c r="U200" s="16">
        <v>9</v>
      </c>
      <c r="V200" s="16"/>
      <c r="W200" s="16">
        <v>36</v>
      </c>
      <c r="X200" s="18">
        <v>36</v>
      </c>
      <c r="Y200" s="16">
        <f t="shared" si="38"/>
        <v>0</v>
      </c>
      <c r="Z200" s="16">
        <f t="shared" si="39"/>
        <v>9</v>
      </c>
      <c r="AA200" s="4">
        <v>0</v>
      </c>
      <c r="AB200" s="4">
        <v>0</v>
      </c>
      <c r="AC200" s="4">
        <v>0</v>
      </c>
      <c r="AD200" s="4">
        <v>0</v>
      </c>
      <c r="AE200" s="19">
        <v>0</v>
      </c>
      <c r="AF200" s="13">
        <f t="shared" si="40"/>
        <v>3</v>
      </c>
      <c r="AG200" s="20">
        <f t="shared" si="32"/>
        <v>46031</v>
      </c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13">
        <v>9</v>
      </c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>
        <f t="shared" si="33"/>
        <v>0</v>
      </c>
      <c r="BN200" s="22">
        <f t="shared" si="34"/>
        <v>9</v>
      </c>
      <c r="BO200" s="23" t="str">
        <f t="shared" si="35"/>
        <v>ok</v>
      </c>
      <c r="BP200" s="22">
        <f t="shared" si="36"/>
        <v>36</v>
      </c>
      <c r="BQ200" s="22" t="str">
        <f t="shared" si="37"/>
        <v>ok</v>
      </c>
      <c r="BR200" s="56"/>
    </row>
    <row r="201" spans="1:70" s="12" customFormat="1" ht="24.95" customHeight="1" x14ac:dyDescent="0.25">
      <c r="A201" s="4" t="s">
        <v>419</v>
      </c>
      <c r="B201" s="15" t="s">
        <v>420</v>
      </c>
      <c r="C201" s="5">
        <v>70010</v>
      </c>
      <c r="D201" s="5" t="s">
        <v>730</v>
      </c>
      <c r="E201" s="16" t="s">
        <v>927</v>
      </c>
      <c r="F201" s="16">
        <v>1</v>
      </c>
      <c r="G201" s="16">
        <v>0</v>
      </c>
      <c r="H201" s="16">
        <v>0</v>
      </c>
      <c r="I201" s="16" t="s">
        <v>15</v>
      </c>
      <c r="J201" s="17"/>
      <c r="K201" s="17"/>
      <c r="L201" s="17"/>
      <c r="M201" s="17"/>
      <c r="N201" s="17"/>
      <c r="O201" s="13"/>
      <c r="P201" s="13"/>
      <c r="Q201" s="13">
        <v>11</v>
      </c>
      <c r="R201" s="6">
        <v>8</v>
      </c>
      <c r="S201" s="7">
        <v>0.19</v>
      </c>
      <c r="T201" s="62">
        <v>33</v>
      </c>
      <c r="U201" s="16">
        <v>9.9</v>
      </c>
      <c r="V201" s="16"/>
      <c r="W201" s="16">
        <v>51</v>
      </c>
      <c r="X201" s="18">
        <v>51</v>
      </c>
      <c r="Y201" s="16">
        <f t="shared" si="38"/>
        <v>0</v>
      </c>
      <c r="Z201" s="16">
        <f t="shared" si="39"/>
        <v>9.9</v>
      </c>
      <c r="AA201" s="4">
        <v>0</v>
      </c>
      <c r="AB201" s="4">
        <v>0</v>
      </c>
      <c r="AC201" s="4">
        <v>0</v>
      </c>
      <c r="AD201" s="4">
        <v>0</v>
      </c>
      <c r="AE201" s="19">
        <v>0</v>
      </c>
      <c r="AF201" s="13">
        <f t="shared" si="40"/>
        <v>3</v>
      </c>
      <c r="AG201" s="20">
        <f t="shared" si="32"/>
        <v>46031</v>
      </c>
      <c r="AH201" s="13"/>
      <c r="AI201" s="13"/>
      <c r="AJ201" s="13"/>
      <c r="AK201" s="13"/>
      <c r="AL201" s="13"/>
      <c r="AM201" s="13"/>
      <c r="AN201" s="13"/>
      <c r="AO201" s="13">
        <v>9.9</v>
      </c>
      <c r="AP201" s="13"/>
      <c r="AQ201" s="13"/>
      <c r="AR201" s="13"/>
      <c r="AS201" s="13"/>
      <c r="AT201" s="13"/>
      <c r="AU201" s="13"/>
      <c r="AV201" s="21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>
        <f t="shared" si="33"/>
        <v>0</v>
      </c>
      <c r="BN201" s="22">
        <f t="shared" si="34"/>
        <v>9.9</v>
      </c>
      <c r="BO201" s="23" t="str">
        <f t="shared" si="35"/>
        <v>ok</v>
      </c>
      <c r="BP201" s="22">
        <f t="shared" si="36"/>
        <v>51</v>
      </c>
      <c r="BQ201" s="22" t="str">
        <f t="shared" si="37"/>
        <v>ok</v>
      </c>
      <c r="BR201" s="56"/>
    </row>
    <row r="202" spans="1:70" s="12" customFormat="1" ht="24.95" customHeight="1" x14ac:dyDescent="0.25">
      <c r="A202" s="4" t="s">
        <v>421</v>
      </c>
      <c r="B202" s="15" t="s">
        <v>422</v>
      </c>
      <c r="C202" s="5">
        <v>70010</v>
      </c>
      <c r="D202" s="5" t="s">
        <v>730</v>
      </c>
      <c r="E202" s="16" t="s">
        <v>928</v>
      </c>
      <c r="F202" s="16">
        <v>1</v>
      </c>
      <c r="G202" s="16">
        <v>0</v>
      </c>
      <c r="H202" s="16">
        <v>0</v>
      </c>
      <c r="I202" s="16" t="s">
        <v>15</v>
      </c>
      <c r="J202" s="17"/>
      <c r="K202" s="17"/>
      <c r="L202" s="17"/>
      <c r="M202" s="17"/>
      <c r="N202" s="17"/>
      <c r="O202" s="13"/>
      <c r="P202" s="13"/>
      <c r="Q202" s="13">
        <v>11</v>
      </c>
      <c r="R202" s="6">
        <v>8</v>
      </c>
      <c r="S202" s="7">
        <v>0.19</v>
      </c>
      <c r="T202" s="62">
        <v>33</v>
      </c>
      <c r="U202" s="16">
        <v>10.8</v>
      </c>
      <c r="V202" s="16"/>
      <c r="W202" s="16">
        <v>22.5</v>
      </c>
      <c r="X202" s="18">
        <v>22.5</v>
      </c>
      <c r="Y202" s="16">
        <f t="shared" si="38"/>
        <v>0</v>
      </c>
      <c r="Z202" s="16">
        <f t="shared" si="39"/>
        <v>10.8</v>
      </c>
      <c r="AA202" s="4">
        <v>0</v>
      </c>
      <c r="AB202" s="4">
        <v>0</v>
      </c>
      <c r="AC202" s="4">
        <v>0</v>
      </c>
      <c r="AD202" s="4">
        <v>0</v>
      </c>
      <c r="AE202" s="19">
        <v>0</v>
      </c>
      <c r="AF202" s="13">
        <f t="shared" si="40"/>
        <v>3</v>
      </c>
      <c r="AG202" s="20">
        <f t="shared" si="32"/>
        <v>46031</v>
      </c>
      <c r="AH202" s="13"/>
      <c r="AI202" s="13">
        <v>10.8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21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>
        <f t="shared" si="33"/>
        <v>0</v>
      </c>
      <c r="BN202" s="22">
        <f t="shared" si="34"/>
        <v>10.8</v>
      </c>
      <c r="BO202" s="23" t="str">
        <f t="shared" si="35"/>
        <v>ok</v>
      </c>
      <c r="BP202" s="22">
        <f t="shared" si="36"/>
        <v>22.5</v>
      </c>
      <c r="BQ202" s="22" t="str">
        <f t="shared" si="37"/>
        <v>ok</v>
      </c>
      <c r="BR202" s="56"/>
    </row>
    <row r="203" spans="1:70" s="12" customFormat="1" ht="24.95" customHeight="1" x14ac:dyDescent="0.25">
      <c r="A203" s="4" t="s">
        <v>423</v>
      </c>
      <c r="B203" s="15" t="s">
        <v>424</v>
      </c>
      <c r="C203" s="5">
        <v>70010</v>
      </c>
      <c r="D203" s="5" t="s">
        <v>730</v>
      </c>
      <c r="E203" s="16" t="s">
        <v>929</v>
      </c>
      <c r="F203" s="16">
        <v>1</v>
      </c>
      <c r="G203" s="16">
        <v>0</v>
      </c>
      <c r="H203" s="16">
        <v>0</v>
      </c>
      <c r="I203" s="16" t="s">
        <v>15</v>
      </c>
      <c r="J203" s="17"/>
      <c r="K203" s="17"/>
      <c r="L203" s="17"/>
      <c r="M203" s="17"/>
      <c r="N203" s="17"/>
      <c r="O203" s="13"/>
      <c r="P203" s="13"/>
      <c r="Q203" s="13">
        <v>20</v>
      </c>
      <c r="R203" s="6">
        <v>17</v>
      </c>
      <c r="S203" s="7">
        <v>0.19</v>
      </c>
      <c r="T203" s="62">
        <v>33</v>
      </c>
      <c r="U203" s="16">
        <v>9.9</v>
      </c>
      <c r="V203" s="16"/>
      <c r="W203" s="16">
        <v>51</v>
      </c>
      <c r="X203" s="18">
        <v>51</v>
      </c>
      <c r="Y203" s="16">
        <f t="shared" si="38"/>
        <v>0</v>
      </c>
      <c r="Z203" s="16">
        <f t="shared" si="39"/>
        <v>9.9</v>
      </c>
      <c r="AA203" s="4">
        <v>0</v>
      </c>
      <c r="AB203" s="4">
        <v>0</v>
      </c>
      <c r="AC203" s="4">
        <v>0</v>
      </c>
      <c r="AD203" s="4">
        <v>0</v>
      </c>
      <c r="AE203" s="19">
        <v>0</v>
      </c>
      <c r="AF203" s="13">
        <f t="shared" si="40"/>
        <v>3</v>
      </c>
      <c r="AG203" s="20">
        <f t="shared" si="32"/>
        <v>46031</v>
      </c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>
        <v>9.9</v>
      </c>
      <c r="AW203" s="24"/>
      <c r="AX203" s="24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>
        <f t="shared" si="33"/>
        <v>0</v>
      </c>
      <c r="BN203" s="22">
        <f t="shared" si="34"/>
        <v>9.9</v>
      </c>
      <c r="BO203" s="23" t="str">
        <f t="shared" si="35"/>
        <v>ok</v>
      </c>
      <c r="BP203" s="22">
        <f t="shared" si="36"/>
        <v>51</v>
      </c>
      <c r="BQ203" s="22" t="str">
        <f t="shared" si="37"/>
        <v>ok</v>
      </c>
      <c r="BR203" s="56"/>
    </row>
    <row r="204" spans="1:70" s="12" customFormat="1" ht="24.95" customHeight="1" x14ac:dyDescent="0.25">
      <c r="A204" s="4" t="s">
        <v>425</v>
      </c>
      <c r="B204" s="15" t="s">
        <v>426</v>
      </c>
      <c r="C204" s="5">
        <v>70010</v>
      </c>
      <c r="D204" s="5" t="s">
        <v>730</v>
      </c>
      <c r="E204" s="16" t="s">
        <v>930</v>
      </c>
      <c r="F204" s="16">
        <v>1</v>
      </c>
      <c r="G204" s="16">
        <v>0</v>
      </c>
      <c r="H204" s="16">
        <v>0</v>
      </c>
      <c r="I204" s="16" t="s">
        <v>15</v>
      </c>
      <c r="J204" s="17"/>
      <c r="K204" s="17"/>
      <c r="L204" s="17"/>
      <c r="M204" s="17"/>
      <c r="N204" s="17"/>
      <c r="O204" s="13"/>
      <c r="P204" s="13"/>
      <c r="Q204" s="13">
        <v>14</v>
      </c>
      <c r="R204" s="6">
        <v>11</v>
      </c>
      <c r="S204" s="7">
        <v>0.19</v>
      </c>
      <c r="T204" s="62">
        <v>33</v>
      </c>
      <c r="U204" s="16">
        <v>9</v>
      </c>
      <c r="V204" s="16"/>
      <c r="W204" s="16">
        <v>37.5</v>
      </c>
      <c r="X204" s="18">
        <v>37.5</v>
      </c>
      <c r="Y204" s="16">
        <f t="shared" si="38"/>
        <v>0</v>
      </c>
      <c r="Z204" s="16">
        <f t="shared" si="39"/>
        <v>9</v>
      </c>
      <c r="AA204" s="4">
        <v>0</v>
      </c>
      <c r="AB204" s="4">
        <v>0</v>
      </c>
      <c r="AC204" s="4">
        <v>0</v>
      </c>
      <c r="AD204" s="4">
        <v>0</v>
      </c>
      <c r="AE204" s="19">
        <v>0</v>
      </c>
      <c r="AF204" s="13">
        <f t="shared" si="40"/>
        <v>3</v>
      </c>
      <c r="AG204" s="20">
        <f t="shared" si="32"/>
        <v>46031</v>
      </c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>
        <v>9</v>
      </c>
      <c r="AT204" s="24"/>
      <c r="AU204" s="24"/>
      <c r="AV204" s="24"/>
      <c r="AW204" s="24"/>
      <c r="AX204" s="24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>
        <f t="shared" si="33"/>
        <v>0</v>
      </c>
      <c r="BN204" s="22">
        <f t="shared" si="34"/>
        <v>9</v>
      </c>
      <c r="BO204" s="23" t="str">
        <f t="shared" si="35"/>
        <v>ok</v>
      </c>
      <c r="BP204" s="22">
        <f t="shared" si="36"/>
        <v>37.5</v>
      </c>
      <c r="BQ204" s="22" t="str">
        <f t="shared" si="37"/>
        <v>ok</v>
      </c>
      <c r="BR204" s="56"/>
    </row>
    <row r="205" spans="1:70" s="12" customFormat="1" ht="24.95" customHeight="1" x14ac:dyDescent="0.25">
      <c r="A205" s="4" t="s">
        <v>427</v>
      </c>
      <c r="B205" s="15" t="s">
        <v>428</v>
      </c>
      <c r="C205" s="5">
        <v>70010</v>
      </c>
      <c r="D205" s="5" t="s">
        <v>730</v>
      </c>
      <c r="E205" s="16" t="s">
        <v>931</v>
      </c>
      <c r="F205" s="16">
        <v>1</v>
      </c>
      <c r="G205" s="16">
        <v>0</v>
      </c>
      <c r="H205" s="16">
        <v>0</v>
      </c>
      <c r="I205" s="16" t="s">
        <v>15</v>
      </c>
      <c r="J205" s="17"/>
      <c r="K205" s="17"/>
      <c r="L205" s="17"/>
      <c r="M205" s="17"/>
      <c r="N205" s="17"/>
      <c r="O205" s="13"/>
      <c r="P205" s="13"/>
      <c r="Q205" s="13">
        <v>115</v>
      </c>
      <c r="R205" s="6">
        <v>100</v>
      </c>
      <c r="S205" s="7">
        <v>0.19</v>
      </c>
      <c r="T205" s="62">
        <v>33</v>
      </c>
      <c r="U205" s="16">
        <v>10.8</v>
      </c>
      <c r="V205" s="16"/>
      <c r="W205" s="16">
        <v>39</v>
      </c>
      <c r="X205" s="18">
        <v>39</v>
      </c>
      <c r="Y205" s="16">
        <f t="shared" si="38"/>
        <v>0</v>
      </c>
      <c r="Z205" s="16">
        <f t="shared" si="39"/>
        <v>10.8</v>
      </c>
      <c r="AA205" s="4">
        <v>10</v>
      </c>
      <c r="AB205" s="4">
        <v>0</v>
      </c>
      <c r="AC205" s="4">
        <v>0</v>
      </c>
      <c r="AD205" s="4">
        <v>0</v>
      </c>
      <c r="AE205" s="19">
        <v>10</v>
      </c>
      <c r="AF205" s="13">
        <f t="shared" si="40"/>
        <v>3</v>
      </c>
      <c r="AG205" s="20">
        <f t="shared" si="32"/>
        <v>46031</v>
      </c>
      <c r="AH205" s="24"/>
      <c r="AI205" s="24"/>
      <c r="AJ205" s="24"/>
      <c r="AK205" s="24"/>
      <c r="AL205" s="24">
        <v>10.8</v>
      </c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>
        <f t="shared" si="33"/>
        <v>0</v>
      </c>
      <c r="BN205" s="22">
        <f t="shared" si="34"/>
        <v>10.8</v>
      </c>
      <c r="BO205" s="23" t="str">
        <f t="shared" si="35"/>
        <v>ok</v>
      </c>
      <c r="BP205" s="22">
        <f t="shared" si="36"/>
        <v>39</v>
      </c>
      <c r="BQ205" s="22" t="str">
        <f t="shared" si="37"/>
        <v>ok</v>
      </c>
      <c r="BR205" s="56"/>
    </row>
    <row r="206" spans="1:70" s="12" customFormat="1" ht="24.95" customHeight="1" x14ac:dyDescent="0.25">
      <c r="A206" s="4" t="s">
        <v>429</v>
      </c>
      <c r="B206" s="15" t="s">
        <v>430</v>
      </c>
      <c r="C206" s="5">
        <v>70010</v>
      </c>
      <c r="D206" s="5" t="s">
        <v>730</v>
      </c>
      <c r="E206" s="16" t="s">
        <v>932</v>
      </c>
      <c r="F206" s="16">
        <v>1</v>
      </c>
      <c r="G206" s="16">
        <v>0</v>
      </c>
      <c r="H206" s="16">
        <v>0</v>
      </c>
      <c r="I206" s="16" t="s">
        <v>15</v>
      </c>
      <c r="J206" s="17"/>
      <c r="K206" s="17"/>
      <c r="L206" s="17"/>
      <c r="M206" s="17"/>
      <c r="N206" s="17"/>
      <c r="O206" s="13"/>
      <c r="P206" s="13"/>
      <c r="Q206" s="13">
        <v>38</v>
      </c>
      <c r="R206" s="6">
        <v>32</v>
      </c>
      <c r="S206" s="7">
        <v>0.18</v>
      </c>
      <c r="T206" s="62">
        <v>33</v>
      </c>
      <c r="U206" s="16">
        <v>9.9</v>
      </c>
      <c r="V206" s="16"/>
      <c r="W206" s="16">
        <v>37.5</v>
      </c>
      <c r="X206" s="18">
        <v>37.5</v>
      </c>
      <c r="Y206" s="16">
        <f t="shared" si="38"/>
        <v>0</v>
      </c>
      <c r="Z206" s="16">
        <f t="shared" si="39"/>
        <v>9.9</v>
      </c>
      <c r="AA206" s="4">
        <v>0</v>
      </c>
      <c r="AB206" s="4">
        <v>0</v>
      </c>
      <c r="AC206" s="4">
        <v>0</v>
      </c>
      <c r="AD206" s="4">
        <v>0</v>
      </c>
      <c r="AE206" s="19">
        <v>0</v>
      </c>
      <c r="AF206" s="13">
        <f t="shared" si="40"/>
        <v>3</v>
      </c>
      <c r="AG206" s="20">
        <f t="shared" si="32"/>
        <v>46031</v>
      </c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21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>
        <v>9.9</v>
      </c>
      <c r="BK206" s="13"/>
      <c r="BL206" s="13"/>
      <c r="BM206" s="13">
        <f t="shared" si="33"/>
        <v>0</v>
      </c>
      <c r="BN206" s="22">
        <f t="shared" si="34"/>
        <v>9.9</v>
      </c>
      <c r="BO206" s="23" t="str">
        <f t="shared" si="35"/>
        <v>ok</v>
      </c>
      <c r="BP206" s="22">
        <f t="shared" si="36"/>
        <v>37.5</v>
      </c>
      <c r="BQ206" s="22" t="str">
        <f t="shared" si="37"/>
        <v>ok</v>
      </c>
      <c r="BR206" s="56"/>
    </row>
    <row r="207" spans="1:70" s="12" customFormat="1" ht="24.95" customHeight="1" x14ac:dyDescent="0.25">
      <c r="A207" s="4" t="s">
        <v>431</v>
      </c>
      <c r="B207" s="15" t="s">
        <v>432</v>
      </c>
      <c r="C207" s="5">
        <v>70010</v>
      </c>
      <c r="D207" s="5" t="s">
        <v>730</v>
      </c>
      <c r="E207" s="16" t="s">
        <v>933</v>
      </c>
      <c r="F207" s="16">
        <v>1</v>
      </c>
      <c r="G207" s="16">
        <v>0</v>
      </c>
      <c r="H207" s="16">
        <v>0</v>
      </c>
      <c r="I207" s="16" t="s">
        <v>15</v>
      </c>
      <c r="J207" s="17"/>
      <c r="K207" s="17"/>
      <c r="L207" s="17"/>
      <c r="M207" s="17"/>
      <c r="N207" s="17"/>
      <c r="O207" s="13"/>
      <c r="P207" s="13"/>
      <c r="Q207" s="13">
        <v>25</v>
      </c>
      <c r="R207" s="6">
        <v>22</v>
      </c>
      <c r="S207" s="7">
        <v>0.19</v>
      </c>
      <c r="T207" s="62">
        <v>33</v>
      </c>
      <c r="U207" s="16">
        <v>9.9</v>
      </c>
      <c r="V207" s="16"/>
      <c r="W207" s="16">
        <v>46.5</v>
      </c>
      <c r="X207" s="18">
        <v>46.5</v>
      </c>
      <c r="Y207" s="16">
        <f t="shared" si="38"/>
        <v>0</v>
      </c>
      <c r="Z207" s="16">
        <f t="shared" si="39"/>
        <v>9.9</v>
      </c>
      <c r="AA207" s="4">
        <v>0</v>
      </c>
      <c r="AB207" s="4">
        <v>0</v>
      </c>
      <c r="AC207" s="4">
        <v>0</v>
      </c>
      <c r="AD207" s="4">
        <v>0</v>
      </c>
      <c r="AE207" s="19">
        <v>0</v>
      </c>
      <c r="AF207" s="13">
        <f t="shared" si="40"/>
        <v>3</v>
      </c>
      <c r="AG207" s="20">
        <f t="shared" si="32"/>
        <v>46031</v>
      </c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21"/>
      <c r="AW207" s="13"/>
      <c r="AX207" s="13"/>
      <c r="AY207" s="13"/>
      <c r="AZ207" s="13">
        <v>9.9</v>
      </c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>
        <f t="shared" si="33"/>
        <v>0</v>
      </c>
      <c r="BN207" s="22">
        <f t="shared" si="34"/>
        <v>9.9</v>
      </c>
      <c r="BO207" s="23" t="str">
        <f t="shared" si="35"/>
        <v>ok</v>
      </c>
      <c r="BP207" s="22">
        <f t="shared" si="36"/>
        <v>46.5</v>
      </c>
      <c r="BQ207" s="22" t="str">
        <f t="shared" si="37"/>
        <v>ok</v>
      </c>
      <c r="BR207" s="56"/>
    </row>
    <row r="208" spans="1:70" s="12" customFormat="1" ht="24.95" customHeight="1" x14ac:dyDescent="0.25">
      <c r="A208" s="4" t="s">
        <v>433</v>
      </c>
      <c r="B208" s="15" t="s">
        <v>434</v>
      </c>
      <c r="C208" s="5">
        <v>70010</v>
      </c>
      <c r="D208" s="5" t="s">
        <v>730</v>
      </c>
      <c r="E208" s="16" t="s">
        <v>934</v>
      </c>
      <c r="F208" s="16">
        <v>1</v>
      </c>
      <c r="G208" s="16">
        <v>0</v>
      </c>
      <c r="H208" s="16">
        <v>0</v>
      </c>
      <c r="I208" s="16" t="s">
        <v>15</v>
      </c>
      <c r="J208" s="17"/>
      <c r="K208" s="17"/>
      <c r="L208" s="17"/>
      <c r="M208" s="17"/>
      <c r="N208" s="17"/>
      <c r="O208" s="13"/>
      <c r="P208" s="13"/>
      <c r="Q208" s="13">
        <v>17</v>
      </c>
      <c r="R208" s="6">
        <v>14</v>
      </c>
      <c r="S208" s="7">
        <v>0.19</v>
      </c>
      <c r="T208" s="62">
        <v>33</v>
      </c>
      <c r="U208" s="16">
        <v>11.700000000000001</v>
      </c>
      <c r="V208" s="16"/>
      <c r="W208" s="16">
        <v>37.5</v>
      </c>
      <c r="X208" s="18">
        <v>37.5</v>
      </c>
      <c r="Y208" s="16">
        <f t="shared" si="38"/>
        <v>0</v>
      </c>
      <c r="Z208" s="16">
        <f t="shared" si="39"/>
        <v>11.7</v>
      </c>
      <c r="AA208" s="4">
        <v>0</v>
      </c>
      <c r="AB208" s="4">
        <v>0</v>
      </c>
      <c r="AC208" s="4">
        <v>0</v>
      </c>
      <c r="AD208" s="4">
        <v>0</v>
      </c>
      <c r="AE208" s="19">
        <v>0</v>
      </c>
      <c r="AF208" s="13">
        <f t="shared" si="40"/>
        <v>3</v>
      </c>
      <c r="AG208" s="20">
        <f t="shared" si="32"/>
        <v>46031</v>
      </c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21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>
        <v>11.7</v>
      </c>
      <c r="BM208" s="13">
        <f t="shared" si="33"/>
        <v>11.700000000000001</v>
      </c>
      <c r="BN208" s="22">
        <f t="shared" si="34"/>
        <v>0</v>
      </c>
      <c r="BO208" s="23" t="str">
        <f t="shared" si="35"/>
        <v>ok</v>
      </c>
      <c r="BP208" s="22">
        <f t="shared" si="36"/>
        <v>37.5</v>
      </c>
      <c r="BQ208" s="22" t="str">
        <f t="shared" si="37"/>
        <v>ok</v>
      </c>
      <c r="BR208" s="56"/>
    </row>
    <row r="209" spans="1:70" s="12" customFormat="1" ht="24.95" customHeight="1" x14ac:dyDescent="0.25">
      <c r="A209" s="4" t="s">
        <v>435</v>
      </c>
      <c r="B209" s="15" t="s">
        <v>436</v>
      </c>
      <c r="C209" s="5">
        <v>70010</v>
      </c>
      <c r="D209" s="5" t="s">
        <v>730</v>
      </c>
      <c r="E209" s="16" t="s">
        <v>935</v>
      </c>
      <c r="F209" s="16">
        <v>1</v>
      </c>
      <c r="G209" s="16">
        <v>0</v>
      </c>
      <c r="H209" s="16">
        <v>0</v>
      </c>
      <c r="I209" s="16" t="s">
        <v>15</v>
      </c>
      <c r="J209" s="17"/>
      <c r="K209" s="17"/>
      <c r="L209" s="17"/>
      <c r="M209" s="17"/>
      <c r="N209" s="17"/>
      <c r="O209" s="13"/>
      <c r="P209" s="13"/>
      <c r="Q209" s="13">
        <v>11</v>
      </c>
      <c r="R209" s="6">
        <v>8</v>
      </c>
      <c r="S209" s="7">
        <v>0.18</v>
      </c>
      <c r="T209" s="62">
        <v>33</v>
      </c>
      <c r="U209" s="16">
        <v>10.8</v>
      </c>
      <c r="V209" s="16"/>
      <c r="W209" s="16">
        <v>60</v>
      </c>
      <c r="X209" s="18">
        <v>60</v>
      </c>
      <c r="Y209" s="16">
        <f t="shared" si="38"/>
        <v>0</v>
      </c>
      <c r="Z209" s="16">
        <f t="shared" si="39"/>
        <v>10.8</v>
      </c>
      <c r="AA209" s="4">
        <v>0</v>
      </c>
      <c r="AB209" s="4">
        <v>0</v>
      </c>
      <c r="AC209" s="4">
        <v>0</v>
      </c>
      <c r="AD209" s="4">
        <v>0</v>
      </c>
      <c r="AE209" s="19">
        <v>0</v>
      </c>
      <c r="AF209" s="13">
        <f t="shared" si="40"/>
        <v>3</v>
      </c>
      <c r="AG209" s="20">
        <f t="shared" ref="AG209:AG272" si="41">IF(AH$16="", "", MAX(AH$16, IF(AD209&gt;0, AD$16+AF209+1, IF(AC209&gt;0, AC$16+AF209+1, IF(AB209&gt;0, AB$16+AF209+1, IF(AA209&gt;0, AA$16+AF209+1, 0))))))</f>
        <v>46031</v>
      </c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>
        <v>10.8</v>
      </c>
      <c r="AS209" s="13"/>
      <c r="AT209" s="13"/>
      <c r="AU209" s="13"/>
      <c r="AV209" s="21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>
        <f t="shared" ref="BM209:BM272" si="42">SUM(U209-(SUM(AH209:BJ209)))</f>
        <v>0</v>
      </c>
      <c r="BN209" s="22">
        <f t="shared" ref="BN209:BN272" si="43">MAX(AH209:BJ209)</f>
        <v>10.8</v>
      </c>
      <c r="BO209" s="23" t="str">
        <f t="shared" ref="BO209:BO272" si="44">IF(BN209&gt;W209+V209,"ver","ok")</f>
        <v>ok</v>
      </c>
      <c r="BP209" s="22">
        <f t="shared" ref="BP209:BP272" si="45">V209+W209</f>
        <v>60</v>
      </c>
      <c r="BQ209" s="22" t="str">
        <f t="shared" ref="BQ209:BQ272" si="46">IF(BN209&gt;BP209,BN209,"ok")</f>
        <v>ok</v>
      </c>
      <c r="BR209" s="56"/>
    </row>
    <row r="210" spans="1:70" s="12" customFormat="1" ht="24.95" customHeight="1" x14ac:dyDescent="0.25">
      <c r="A210" s="4" t="s">
        <v>437</v>
      </c>
      <c r="B210" s="15" t="s">
        <v>438</v>
      </c>
      <c r="C210" s="5">
        <v>70010</v>
      </c>
      <c r="D210" s="5" t="s">
        <v>730</v>
      </c>
      <c r="E210" s="16" t="s">
        <v>936</v>
      </c>
      <c r="F210" s="16">
        <v>1</v>
      </c>
      <c r="G210" s="16">
        <v>0</v>
      </c>
      <c r="H210" s="16">
        <v>0</v>
      </c>
      <c r="I210" s="16" t="s">
        <v>15</v>
      </c>
      <c r="J210" s="17"/>
      <c r="K210" s="17"/>
      <c r="L210" s="17"/>
      <c r="M210" s="17"/>
      <c r="N210" s="17"/>
      <c r="O210" s="13"/>
      <c r="P210" s="13"/>
      <c r="Q210" s="13">
        <v>28</v>
      </c>
      <c r="R210" s="6">
        <v>24</v>
      </c>
      <c r="S210" s="7">
        <v>0.18</v>
      </c>
      <c r="T210" s="62">
        <v>33</v>
      </c>
      <c r="U210" s="16">
        <v>9.9</v>
      </c>
      <c r="V210" s="16"/>
      <c r="W210" s="16">
        <v>22.5</v>
      </c>
      <c r="X210" s="18">
        <v>22.5</v>
      </c>
      <c r="Y210" s="16">
        <f t="shared" ref="Y210:Y273" si="47">Z210-U210</f>
        <v>0</v>
      </c>
      <c r="Z210" s="16">
        <f t="shared" ref="Z210:Z273" si="48">SUM(AH210:BL210)</f>
        <v>9.9</v>
      </c>
      <c r="AA210" s="4">
        <v>0</v>
      </c>
      <c r="AB210" s="4">
        <v>0</v>
      </c>
      <c r="AC210" s="4">
        <v>0</v>
      </c>
      <c r="AD210" s="4">
        <v>0</v>
      </c>
      <c r="AE210" s="19">
        <v>0</v>
      </c>
      <c r="AF210" s="13">
        <f t="shared" ref="AF210:AF273" si="49">IF(I210="Máquina",IF(COUNTIF(D210,"*cat02*"),4,IF(COUNTIF(D210,"*cat01*"),3,IF(COUNTIF(D210,"*cat04*"),2,IF(COUNTIF(D210,"*cat03*"),5,2)))),IF(COUNTIF(D210,"*cat02*"),3,IF(COUNTIF(D210,"*cat01*"),2,IF(COUNTIF(D210,"*cat04*"),2,IF(COUNTIF(D210,"*cat03*"),5,2)))))</f>
        <v>3</v>
      </c>
      <c r="AG210" s="20">
        <f t="shared" si="41"/>
        <v>46031</v>
      </c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>
        <v>9.9</v>
      </c>
      <c r="AW210" s="24"/>
      <c r="AX210" s="24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>
        <f t="shared" si="42"/>
        <v>0</v>
      </c>
      <c r="BN210" s="22">
        <f t="shared" si="43"/>
        <v>9.9</v>
      </c>
      <c r="BO210" s="23" t="str">
        <f t="shared" si="44"/>
        <v>ok</v>
      </c>
      <c r="BP210" s="22">
        <f t="shared" si="45"/>
        <v>22.5</v>
      </c>
      <c r="BQ210" s="22" t="str">
        <f t="shared" si="46"/>
        <v>ok</v>
      </c>
      <c r="BR210" s="56"/>
    </row>
    <row r="211" spans="1:70" s="12" customFormat="1" ht="24.95" customHeight="1" x14ac:dyDescent="0.25">
      <c r="A211" s="4" t="s">
        <v>439</v>
      </c>
      <c r="B211" s="15" t="s">
        <v>440</v>
      </c>
      <c r="C211" s="5">
        <v>70010</v>
      </c>
      <c r="D211" s="5" t="s">
        <v>730</v>
      </c>
      <c r="E211" s="16" t="s">
        <v>937</v>
      </c>
      <c r="F211" s="16">
        <v>1</v>
      </c>
      <c r="G211" s="16">
        <v>0</v>
      </c>
      <c r="H211" s="16">
        <v>0</v>
      </c>
      <c r="I211" s="16" t="s">
        <v>15</v>
      </c>
      <c r="J211" s="17"/>
      <c r="K211" s="17"/>
      <c r="L211" s="17"/>
      <c r="M211" s="17"/>
      <c r="N211" s="17"/>
      <c r="O211" s="13"/>
      <c r="P211" s="13"/>
      <c r="Q211" s="13">
        <v>23</v>
      </c>
      <c r="R211" s="6">
        <v>20</v>
      </c>
      <c r="S211" s="7">
        <v>0.19</v>
      </c>
      <c r="T211" s="62">
        <v>33</v>
      </c>
      <c r="U211" s="16">
        <v>15.3</v>
      </c>
      <c r="V211" s="16"/>
      <c r="W211" s="16">
        <v>30</v>
      </c>
      <c r="X211" s="18">
        <v>30</v>
      </c>
      <c r="Y211" s="16">
        <f t="shared" si="47"/>
        <v>0</v>
      </c>
      <c r="Z211" s="16">
        <f t="shared" si="48"/>
        <v>15.3</v>
      </c>
      <c r="AA211" s="4">
        <v>0</v>
      </c>
      <c r="AB211" s="4">
        <v>0</v>
      </c>
      <c r="AC211" s="4">
        <v>0</v>
      </c>
      <c r="AD211" s="4">
        <v>0</v>
      </c>
      <c r="AE211" s="19">
        <v>0</v>
      </c>
      <c r="AF211" s="13">
        <f t="shared" si="49"/>
        <v>3</v>
      </c>
      <c r="AG211" s="20">
        <f t="shared" si="41"/>
        <v>46031</v>
      </c>
      <c r="AH211" s="13">
        <v>15.3</v>
      </c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21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>
        <f t="shared" si="42"/>
        <v>0</v>
      </c>
      <c r="BN211" s="22">
        <f t="shared" si="43"/>
        <v>15.3</v>
      </c>
      <c r="BO211" s="23" t="str">
        <f t="shared" si="44"/>
        <v>ok</v>
      </c>
      <c r="BP211" s="22">
        <f t="shared" si="45"/>
        <v>30</v>
      </c>
      <c r="BQ211" s="22" t="str">
        <f t="shared" si="46"/>
        <v>ok</v>
      </c>
      <c r="BR211" s="56"/>
    </row>
    <row r="212" spans="1:70" s="12" customFormat="1" ht="24.95" customHeight="1" x14ac:dyDescent="0.25">
      <c r="A212" s="4" t="s">
        <v>441</v>
      </c>
      <c r="B212" s="15" t="s">
        <v>442</v>
      </c>
      <c r="C212" s="5">
        <v>70010</v>
      </c>
      <c r="D212" s="5" t="s">
        <v>730</v>
      </c>
      <c r="E212" s="16" t="s">
        <v>938</v>
      </c>
      <c r="F212" s="16">
        <v>1</v>
      </c>
      <c r="G212" s="16">
        <v>0</v>
      </c>
      <c r="H212" s="16">
        <v>0</v>
      </c>
      <c r="I212" s="16" t="s">
        <v>15</v>
      </c>
      <c r="J212" s="17"/>
      <c r="K212" s="17"/>
      <c r="L212" s="17"/>
      <c r="M212" s="17"/>
      <c r="N212" s="17"/>
      <c r="O212" s="13"/>
      <c r="P212" s="13"/>
      <c r="Q212" s="13">
        <v>11</v>
      </c>
      <c r="R212" s="6">
        <v>8</v>
      </c>
      <c r="S212" s="7">
        <v>0.19</v>
      </c>
      <c r="T212" s="62">
        <v>33</v>
      </c>
      <c r="U212" s="16">
        <v>10.8</v>
      </c>
      <c r="V212" s="16"/>
      <c r="W212" s="16">
        <v>28.5</v>
      </c>
      <c r="X212" s="18">
        <v>28.5</v>
      </c>
      <c r="Y212" s="16">
        <f t="shared" si="47"/>
        <v>0</v>
      </c>
      <c r="Z212" s="16">
        <f t="shared" si="48"/>
        <v>10.8</v>
      </c>
      <c r="AA212" s="4">
        <v>0</v>
      </c>
      <c r="AB212" s="4">
        <v>0</v>
      </c>
      <c r="AC212" s="4">
        <v>0</v>
      </c>
      <c r="AD212" s="4">
        <v>0</v>
      </c>
      <c r="AE212" s="19">
        <v>0</v>
      </c>
      <c r="AF212" s="13">
        <f t="shared" si="49"/>
        <v>3</v>
      </c>
      <c r="AG212" s="20">
        <f t="shared" si="41"/>
        <v>46031</v>
      </c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21"/>
      <c r="AW212" s="13"/>
      <c r="AX212" s="13"/>
      <c r="AY212" s="13"/>
      <c r="AZ212" s="13"/>
      <c r="BA212" s="13"/>
      <c r="BB212" s="13">
        <v>10.8</v>
      </c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>
        <f t="shared" si="42"/>
        <v>0</v>
      </c>
      <c r="BN212" s="22">
        <f t="shared" si="43"/>
        <v>10.8</v>
      </c>
      <c r="BO212" s="23" t="str">
        <f t="shared" si="44"/>
        <v>ok</v>
      </c>
      <c r="BP212" s="22">
        <f t="shared" si="45"/>
        <v>28.5</v>
      </c>
      <c r="BQ212" s="22" t="str">
        <f t="shared" si="46"/>
        <v>ok</v>
      </c>
      <c r="BR212" s="56"/>
    </row>
    <row r="213" spans="1:70" s="12" customFormat="1" ht="24.95" customHeight="1" x14ac:dyDescent="0.25">
      <c r="A213" s="4" t="s">
        <v>443</v>
      </c>
      <c r="B213" s="15" t="s">
        <v>444</v>
      </c>
      <c r="C213" s="5">
        <v>70010</v>
      </c>
      <c r="D213" s="5" t="s">
        <v>730</v>
      </c>
      <c r="E213" s="16" t="s">
        <v>939</v>
      </c>
      <c r="F213" s="16">
        <v>1</v>
      </c>
      <c r="G213" s="16">
        <v>0</v>
      </c>
      <c r="H213" s="16">
        <v>0</v>
      </c>
      <c r="I213" s="16" t="s">
        <v>15</v>
      </c>
      <c r="J213" s="17"/>
      <c r="K213" s="17"/>
      <c r="L213" s="17"/>
      <c r="M213" s="17"/>
      <c r="N213" s="17"/>
      <c r="O213" s="13"/>
      <c r="P213" s="13"/>
      <c r="Q213" s="13">
        <v>11</v>
      </c>
      <c r="R213" s="6">
        <v>8</v>
      </c>
      <c r="S213" s="7">
        <v>0.18</v>
      </c>
      <c r="T213" s="62">
        <v>33</v>
      </c>
      <c r="U213" s="16">
        <v>9.9</v>
      </c>
      <c r="V213" s="16"/>
      <c r="W213" s="16">
        <v>22.5</v>
      </c>
      <c r="X213" s="18">
        <v>22.5</v>
      </c>
      <c r="Y213" s="16">
        <f t="shared" si="47"/>
        <v>0</v>
      </c>
      <c r="Z213" s="16">
        <f t="shared" si="48"/>
        <v>9.9</v>
      </c>
      <c r="AA213" s="4">
        <v>0</v>
      </c>
      <c r="AB213" s="4">
        <v>0</v>
      </c>
      <c r="AC213" s="4">
        <v>0</v>
      </c>
      <c r="AD213" s="4">
        <v>0</v>
      </c>
      <c r="AE213" s="19">
        <v>0</v>
      </c>
      <c r="AF213" s="13">
        <f t="shared" si="49"/>
        <v>3</v>
      </c>
      <c r="AG213" s="20">
        <f t="shared" si="41"/>
        <v>46031</v>
      </c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>
        <v>9.9</v>
      </c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>
        <f t="shared" si="42"/>
        <v>0</v>
      </c>
      <c r="BN213" s="22">
        <f t="shared" si="43"/>
        <v>9.9</v>
      </c>
      <c r="BO213" s="23" t="str">
        <f t="shared" si="44"/>
        <v>ok</v>
      </c>
      <c r="BP213" s="22">
        <f t="shared" si="45"/>
        <v>22.5</v>
      </c>
      <c r="BQ213" s="22" t="str">
        <f t="shared" si="46"/>
        <v>ok</v>
      </c>
      <c r="BR213" s="56"/>
    </row>
    <row r="214" spans="1:70" s="12" customFormat="1" ht="24.95" customHeight="1" x14ac:dyDescent="0.25">
      <c r="A214" s="4" t="s">
        <v>445</v>
      </c>
      <c r="B214" s="15" t="s">
        <v>446</v>
      </c>
      <c r="C214" s="5">
        <v>70010</v>
      </c>
      <c r="D214" s="5" t="s">
        <v>730</v>
      </c>
      <c r="E214" s="16" t="s">
        <v>940</v>
      </c>
      <c r="F214" s="16">
        <v>1</v>
      </c>
      <c r="G214" s="16">
        <v>0</v>
      </c>
      <c r="H214" s="16">
        <v>0</v>
      </c>
      <c r="I214" s="16" t="s">
        <v>15</v>
      </c>
      <c r="J214" s="17"/>
      <c r="K214" s="17"/>
      <c r="L214" s="17"/>
      <c r="M214" s="17"/>
      <c r="N214" s="17"/>
      <c r="O214" s="13"/>
      <c r="P214" s="13"/>
      <c r="Q214" s="13">
        <v>32</v>
      </c>
      <c r="R214" s="6">
        <v>27</v>
      </c>
      <c r="S214" s="7">
        <v>0.19</v>
      </c>
      <c r="T214" s="62">
        <v>33</v>
      </c>
      <c r="U214" s="16">
        <v>10.8</v>
      </c>
      <c r="V214" s="16"/>
      <c r="W214" s="16">
        <v>30</v>
      </c>
      <c r="X214" s="18">
        <v>30</v>
      </c>
      <c r="Y214" s="16">
        <f t="shared" si="47"/>
        <v>0</v>
      </c>
      <c r="Z214" s="16">
        <f t="shared" si="48"/>
        <v>10.8</v>
      </c>
      <c r="AA214" s="4">
        <v>0</v>
      </c>
      <c r="AB214" s="4">
        <v>0</v>
      </c>
      <c r="AC214" s="4">
        <v>0</v>
      </c>
      <c r="AD214" s="4">
        <v>0</v>
      </c>
      <c r="AE214" s="19">
        <v>0</v>
      </c>
      <c r="AF214" s="13">
        <f t="shared" si="49"/>
        <v>3</v>
      </c>
      <c r="AG214" s="20">
        <f t="shared" si="41"/>
        <v>46031</v>
      </c>
      <c r="AH214" s="13"/>
      <c r="AI214" s="13"/>
      <c r="AJ214" s="13"/>
      <c r="AK214" s="13"/>
      <c r="AL214" s="13"/>
      <c r="AM214" s="13"/>
      <c r="AN214" s="13"/>
      <c r="AO214" s="13"/>
      <c r="AP214" s="13"/>
      <c r="AQ214" s="13">
        <v>10.8</v>
      </c>
      <c r="AR214" s="13"/>
      <c r="AS214" s="13"/>
      <c r="AT214" s="13"/>
      <c r="AU214" s="13"/>
      <c r="AV214" s="21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>
        <f t="shared" si="42"/>
        <v>0</v>
      </c>
      <c r="BN214" s="22">
        <f t="shared" si="43"/>
        <v>10.8</v>
      </c>
      <c r="BO214" s="23" t="str">
        <f t="shared" si="44"/>
        <v>ok</v>
      </c>
      <c r="BP214" s="22">
        <f t="shared" si="45"/>
        <v>30</v>
      </c>
      <c r="BQ214" s="22" t="str">
        <f t="shared" si="46"/>
        <v>ok</v>
      </c>
      <c r="BR214" s="56"/>
    </row>
    <row r="215" spans="1:70" s="12" customFormat="1" ht="24.95" customHeight="1" x14ac:dyDescent="0.25">
      <c r="A215" s="4" t="s">
        <v>447</v>
      </c>
      <c r="B215" s="15" t="s">
        <v>448</v>
      </c>
      <c r="C215" s="5">
        <v>70010</v>
      </c>
      <c r="D215" s="5" t="s">
        <v>730</v>
      </c>
      <c r="E215" s="16" t="s">
        <v>941</v>
      </c>
      <c r="F215" s="16">
        <v>1</v>
      </c>
      <c r="G215" s="16">
        <v>0</v>
      </c>
      <c r="H215" s="16">
        <v>0</v>
      </c>
      <c r="I215" s="16" t="s">
        <v>15</v>
      </c>
      <c r="J215" s="17"/>
      <c r="K215" s="17"/>
      <c r="L215" s="17"/>
      <c r="M215" s="17"/>
      <c r="N215" s="17"/>
      <c r="O215" s="13"/>
      <c r="P215" s="13"/>
      <c r="Q215" s="13">
        <v>58</v>
      </c>
      <c r="R215" s="13">
        <v>50</v>
      </c>
      <c r="S215" s="7">
        <v>0.19</v>
      </c>
      <c r="T215" s="62">
        <v>33</v>
      </c>
      <c r="U215" s="16">
        <v>85.5</v>
      </c>
      <c r="V215" s="16"/>
      <c r="W215" s="16">
        <v>52.5</v>
      </c>
      <c r="X215" s="18">
        <v>52.5</v>
      </c>
      <c r="Y215" s="16">
        <f t="shared" si="47"/>
        <v>-0.5</v>
      </c>
      <c r="Z215" s="16">
        <f t="shared" si="48"/>
        <v>85</v>
      </c>
      <c r="AA215" s="4">
        <v>0</v>
      </c>
      <c r="AB215" s="4">
        <v>0</v>
      </c>
      <c r="AC215" s="4">
        <v>0</v>
      </c>
      <c r="AD215" s="4">
        <v>0</v>
      </c>
      <c r="AE215" s="19">
        <v>0</v>
      </c>
      <c r="AF215" s="13">
        <f t="shared" si="49"/>
        <v>3</v>
      </c>
      <c r="AG215" s="20">
        <f t="shared" si="41"/>
        <v>46031</v>
      </c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>
        <v>33</v>
      </c>
      <c r="AX215" s="24">
        <v>19</v>
      </c>
      <c r="AY215" s="13"/>
      <c r="AZ215" s="13"/>
      <c r="BA215" s="13">
        <v>33</v>
      </c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>
        <f t="shared" si="42"/>
        <v>0.5</v>
      </c>
      <c r="BN215" s="22">
        <f t="shared" si="43"/>
        <v>33</v>
      </c>
      <c r="BO215" s="23" t="str">
        <f t="shared" si="44"/>
        <v>ok</v>
      </c>
      <c r="BP215" s="22">
        <f t="shared" si="45"/>
        <v>52.5</v>
      </c>
      <c r="BQ215" s="22" t="str">
        <f t="shared" si="46"/>
        <v>ok</v>
      </c>
      <c r="BR215" s="56" t="s">
        <v>28</v>
      </c>
    </row>
    <row r="216" spans="1:70" s="12" customFormat="1" ht="24.95" customHeight="1" x14ac:dyDescent="0.25">
      <c r="A216" s="4" t="s">
        <v>449</v>
      </c>
      <c r="B216" s="15" t="s">
        <v>450</v>
      </c>
      <c r="C216" s="5">
        <v>70010</v>
      </c>
      <c r="D216" s="5" t="s">
        <v>730</v>
      </c>
      <c r="E216" s="16" t="s">
        <v>942</v>
      </c>
      <c r="F216" s="16">
        <v>1</v>
      </c>
      <c r="G216" s="16">
        <v>0</v>
      </c>
      <c r="H216" s="16">
        <v>0</v>
      </c>
      <c r="I216" s="16" t="s">
        <v>15</v>
      </c>
      <c r="J216" s="17"/>
      <c r="K216" s="17"/>
      <c r="L216" s="17"/>
      <c r="M216" s="17"/>
      <c r="N216" s="17"/>
      <c r="O216" s="13"/>
      <c r="P216" s="13"/>
      <c r="Q216" s="13">
        <v>22</v>
      </c>
      <c r="R216" s="6">
        <v>10</v>
      </c>
      <c r="S216" s="7">
        <v>0.13</v>
      </c>
      <c r="T216" s="62">
        <v>33</v>
      </c>
      <c r="U216" s="16">
        <v>9.9</v>
      </c>
      <c r="V216" s="16"/>
      <c r="W216" s="16">
        <v>45</v>
      </c>
      <c r="X216" s="18">
        <v>45</v>
      </c>
      <c r="Y216" s="16">
        <f t="shared" si="47"/>
        <v>0</v>
      </c>
      <c r="Z216" s="16">
        <f t="shared" si="48"/>
        <v>9.9</v>
      </c>
      <c r="AA216" s="4">
        <v>0</v>
      </c>
      <c r="AB216" s="4">
        <v>0</v>
      </c>
      <c r="AC216" s="4">
        <v>0</v>
      </c>
      <c r="AD216" s="4">
        <v>0</v>
      </c>
      <c r="AE216" s="19">
        <v>0</v>
      </c>
      <c r="AF216" s="13">
        <f t="shared" si="49"/>
        <v>3</v>
      </c>
      <c r="AG216" s="20">
        <f t="shared" si="41"/>
        <v>46031</v>
      </c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>
        <v>9.9</v>
      </c>
      <c r="AV216" s="21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>
        <f t="shared" si="42"/>
        <v>0</v>
      </c>
      <c r="BN216" s="22">
        <f t="shared" si="43"/>
        <v>9.9</v>
      </c>
      <c r="BO216" s="23" t="str">
        <f t="shared" si="44"/>
        <v>ok</v>
      </c>
      <c r="BP216" s="22">
        <f t="shared" si="45"/>
        <v>45</v>
      </c>
      <c r="BQ216" s="22" t="str">
        <f t="shared" si="46"/>
        <v>ok</v>
      </c>
      <c r="BR216" s="56"/>
    </row>
    <row r="217" spans="1:70" s="12" customFormat="1" ht="24.95" customHeight="1" x14ac:dyDescent="0.25">
      <c r="A217" s="4" t="s">
        <v>451</v>
      </c>
      <c r="B217" s="15" t="s">
        <v>452</v>
      </c>
      <c r="C217" s="5">
        <v>70010</v>
      </c>
      <c r="D217" s="5" t="s">
        <v>730</v>
      </c>
      <c r="E217" s="16" t="s">
        <v>943</v>
      </c>
      <c r="F217" s="16">
        <v>1</v>
      </c>
      <c r="G217" s="16">
        <v>0</v>
      </c>
      <c r="H217" s="16">
        <v>0</v>
      </c>
      <c r="I217" s="16" t="s">
        <v>15</v>
      </c>
      <c r="J217" s="17"/>
      <c r="K217" s="17"/>
      <c r="L217" s="17"/>
      <c r="M217" s="17"/>
      <c r="N217" s="17"/>
      <c r="O217" s="13"/>
      <c r="P217" s="13"/>
      <c r="Q217" s="13">
        <v>41</v>
      </c>
      <c r="R217" s="6">
        <v>9</v>
      </c>
      <c r="S217" s="7">
        <v>0.13</v>
      </c>
      <c r="T217" s="62">
        <v>33</v>
      </c>
      <c r="U217" s="16">
        <v>9.9</v>
      </c>
      <c r="V217" s="16"/>
      <c r="W217" s="16">
        <v>22.5</v>
      </c>
      <c r="X217" s="18">
        <v>22.5</v>
      </c>
      <c r="Y217" s="16">
        <f t="shared" si="47"/>
        <v>0</v>
      </c>
      <c r="Z217" s="16">
        <f t="shared" si="48"/>
        <v>9.9</v>
      </c>
      <c r="AA217" s="4">
        <v>0</v>
      </c>
      <c r="AB217" s="4">
        <v>0</v>
      </c>
      <c r="AC217" s="4">
        <v>0</v>
      </c>
      <c r="AD217" s="4">
        <v>0</v>
      </c>
      <c r="AE217" s="19">
        <v>0</v>
      </c>
      <c r="AF217" s="13">
        <f t="shared" si="49"/>
        <v>3</v>
      </c>
      <c r="AG217" s="20">
        <f t="shared" si="41"/>
        <v>46031</v>
      </c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21"/>
      <c r="AW217" s="13"/>
      <c r="AX217" s="13"/>
      <c r="AY217" s="13"/>
      <c r="AZ217" s="13"/>
      <c r="BA217" s="13"/>
      <c r="BB217" s="13"/>
      <c r="BC217" s="13"/>
      <c r="BD217" s="13"/>
      <c r="BE217" s="13">
        <v>9.9</v>
      </c>
      <c r="BF217" s="4"/>
      <c r="BG217" s="4"/>
      <c r="BH217" s="4"/>
      <c r="BI217" s="4"/>
      <c r="BJ217" s="4"/>
      <c r="BK217" s="4"/>
      <c r="BL217" s="4"/>
      <c r="BM217" s="13">
        <f t="shared" si="42"/>
        <v>0</v>
      </c>
      <c r="BN217" s="22">
        <f t="shared" si="43"/>
        <v>9.9</v>
      </c>
      <c r="BO217" s="23" t="str">
        <f t="shared" si="44"/>
        <v>ok</v>
      </c>
      <c r="BP217" s="22">
        <f t="shared" si="45"/>
        <v>22.5</v>
      </c>
      <c r="BQ217" s="22" t="str">
        <f t="shared" si="46"/>
        <v>ok</v>
      </c>
      <c r="BR217" s="56"/>
    </row>
    <row r="218" spans="1:70" s="12" customFormat="1" ht="24.95" customHeight="1" x14ac:dyDescent="0.25">
      <c r="A218" s="4" t="s">
        <v>453</v>
      </c>
      <c r="B218" s="15" t="s">
        <v>454</v>
      </c>
      <c r="C218" s="5">
        <v>70010</v>
      </c>
      <c r="D218" s="5" t="s">
        <v>730</v>
      </c>
      <c r="E218" s="16" t="s">
        <v>944</v>
      </c>
      <c r="F218" s="16">
        <v>1</v>
      </c>
      <c r="G218" s="16">
        <v>0</v>
      </c>
      <c r="H218" s="16">
        <v>0</v>
      </c>
      <c r="I218" s="16" t="s">
        <v>15</v>
      </c>
      <c r="J218" s="17"/>
      <c r="K218" s="17"/>
      <c r="L218" s="17"/>
      <c r="M218" s="17"/>
      <c r="N218" s="17"/>
      <c r="O218" s="13"/>
      <c r="P218" s="13"/>
      <c r="Q218" s="13">
        <v>219</v>
      </c>
      <c r="R218" s="13">
        <v>186</v>
      </c>
      <c r="S218" s="7">
        <v>0.18</v>
      </c>
      <c r="T218" s="62">
        <v>33</v>
      </c>
      <c r="U218" s="16">
        <v>9.9</v>
      </c>
      <c r="V218" s="16"/>
      <c r="W218" s="16">
        <v>36</v>
      </c>
      <c r="X218" s="18">
        <v>36</v>
      </c>
      <c r="Y218" s="16">
        <f t="shared" si="47"/>
        <v>0</v>
      </c>
      <c r="Z218" s="16">
        <f t="shared" si="48"/>
        <v>9.9</v>
      </c>
      <c r="AA218" s="4">
        <v>0</v>
      </c>
      <c r="AB218" s="4">
        <v>0</v>
      </c>
      <c r="AC218" s="4">
        <v>0</v>
      </c>
      <c r="AD218" s="4">
        <v>0</v>
      </c>
      <c r="AE218" s="19">
        <v>0</v>
      </c>
      <c r="AF218" s="13">
        <f t="shared" si="49"/>
        <v>3</v>
      </c>
      <c r="AG218" s="20">
        <f t="shared" si="41"/>
        <v>46031</v>
      </c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21"/>
      <c r="AW218" s="13"/>
      <c r="AX218" s="13"/>
      <c r="AY218" s="13"/>
      <c r="AZ218" s="13"/>
      <c r="BA218" s="13"/>
      <c r="BB218" s="13"/>
      <c r="BC218" s="13"/>
      <c r="BD218" s="13">
        <v>9.9</v>
      </c>
      <c r="BE218" s="13"/>
      <c r="BF218" s="13"/>
      <c r="BG218" s="13"/>
      <c r="BH218" s="13"/>
      <c r="BI218" s="13"/>
      <c r="BJ218" s="13"/>
      <c r="BK218" s="13"/>
      <c r="BL218" s="13"/>
      <c r="BM218" s="13">
        <f t="shared" si="42"/>
        <v>0</v>
      </c>
      <c r="BN218" s="22">
        <f t="shared" si="43"/>
        <v>9.9</v>
      </c>
      <c r="BO218" s="23" t="str">
        <f t="shared" si="44"/>
        <v>ok</v>
      </c>
      <c r="BP218" s="22">
        <f t="shared" si="45"/>
        <v>36</v>
      </c>
      <c r="BQ218" s="22" t="str">
        <f t="shared" si="46"/>
        <v>ok</v>
      </c>
      <c r="BR218" s="56"/>
    </row>
    <row r="219" spans="1:70" s="12" customFormat="1" ht="24.95" customHeight="1" x14ac:dyDescent="0.25">
      <c r="A219" s="4" t="s">
        <v>455</v>
      </c>
      <c r="B219" s="15" t="s">
        <v>456</v>
      </c>
      <c r="C219" s="5">
        <v>70010</v>
      </c>
      <c r="D219" s="5" t="s">
        <v>730</v>
      </c>
      <c r="E219" s="16" t="s">
        <v>945</v>
      </c>
      <c r="F219" s="16">
        <v>1</v>
      </c>
      <c r="G219" s="16">
        <v>0</v>
      </c>
      <c r="H219" s="16">
        <v>0</v>
      </c>
      <c r="I219" s="16" t="s">
        <v>15</v>
      </c>
      <c r="J219" s="17"/>
      <c r="K219" s="17"/>
      <c r="L219" s="17"/>
      <c r="M219" s="17"/>
      <c r="N219" s="17"/>
      <c r="O219" s="13"/>
      <c r="P219" s="13"/>
      <c r="Q219" s="13">
        <v>20</v>
      </c>
      <c r="R219" s="6">
        <v>17</v>
      </c>
      <c r="S219" s="7">
        <v>0.13</v>
      </c>
      <c r="T219" s="62">
        <v>33</v>
      </c>
      <c r="U219" s="16">
        <v>9.9</v>
      </c>
      <c r="V219" s="16"/>
      <c r="W219" s="16">
        <v>28.5</v>
      </c>
      <c r="X219" s="18">
        <v>28.5</v>
      </c>
      <c r="Y219" s="16">
        <f t="shared" si="47"/>
        <v>0</v>
      </c>
      <c r="Z219" s="16">
        <f t="shared" si="48"/>
        <v>9.9</v>
      </c>
      <c r="AA219" s="4">
        <v>0</v>
      </c>
      <c r="AB219" s="4">
        <v>0</v>
      </c>
      <c r="AC219" s="4">
        <v>0</v>
      </c>
      <c r="AD219" s="4">
        <v>0</v>
      </c>
      <c r="AE219" s="19">
        <v>0</v>
      </c>
      <c r="AF219" s="13">
        <f t="shared" si="49"/>
        <v>3</v>
      </c>
      <c r="AG219" s="20">
        <f t="shared" si="41"/>
        <v>46031</v>
      </c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13"/>
      <c r="AZ219" s="13"/>
      <c r="BA219" s="13">
        <v>9.9</v>
      </c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>
        <f t="shared" si="42"/>
        <v>0</v>
      </c>
      <c r="BN219" s="22">
        <f t="shared" si="43"/>
        <v>9.9</v>
      </c>
      <c r="BO219" s="23" t="str">
        <f t="shared" si="44"/>
        <v>ok</v>
      </c>
      <c r="BP219" s="22">
        <f t="shared" si="45"/>
        <v>28.5</v>
      </c>
      <c r="BQ219" s="22" t="str">
        <f t="shared" si="46"/>
        <v>ok</v>
      </c>
      <c r="BR219" s="56"/>
    </row>
    <row r="220" spans="1:70" s="12" customFormat="1" ht="24.95" customHeight="1" x14ac:dyDescent="0.25">
      <c r="A220" s="4" t="s">
        <v>457</v>
      </c>
      <c r="B220" s="15" t="s">
        <v>458</v>
      </c>
      <c r="C220" s="5">
        <v>70010</v>
      </c>
      <c r="D220" s="5" t="s">
        <v>730</v>
      </c>
      <c r="E220" s="16" t="s">
        <v>946</v>
      </c>
      <c r="F220" s="16">
        <v>2</v>
      </c>
      <c r="G220" s="16">
        <v>0</v>
      </c>
      <c r="H220" s="16">
        <v>0</v>
      </c>
      <c r="I220" s="16" t="s">
        <v>15</v>
      </c>
      <c r="J220" s="17"/>
      <c r="K220" s="17"/>
      <c r="L220" s="17"/>
      <c r="M220" s="17"/>
      <c r="N220" s="17"/>
      <c r="O220" s="13"/>
      <c r="P220" s="13"/>
      <c r="Q220" s="13">
        <v>63</v>
      </c>
      <c r="R220" s="6">
        <v>55</v>
      </c>
      <c r="S220" s="7">
        <v>0.09</v>
      </c>
      <c r="T220" s="62">
        <v>33</v>
      </c>
      <c r="U220" s="16">
        <v>9.9</v>
      </c>
      <c r="V220" s="16"/>
      <c r="W220" s="16">
        <v>22.5</v>
      </c>
      <c r="X220" s="18">
        <v>22.5</v>
      </c>
      <c r="Y220" s="16">
        <f t="shared" si="47"/>
        <v>0</v>
      </c>
      <c r="Z220" s="16">
        <f t="shared" si="48"/>
        <v>9.9</v>
      </c>
      <c r="AA220" s="4">
        <v>0</v>
      </c>
      <c r="AB220" s="4">
        <v>0</v>
      </c>
      <c r="AC220" s="4">
        <v>0</v>
      </c>
      <c r="AD220" s="4">
        <v>0</v>
      </c>
      <c r="AE220" s="19">
        <v>11</v>
      </c>
      <c r="AF220" s="13">
        <f t="shared" si="49"/>
        <v>3</v>
      </c>
      <c r="AG220" s="20">
        <f t="shared" si="41"/>
        <v>46031</v>
      </c>
      <c r="AH220" s="13"/>
      <c r="AI220" s="13"/>
      <c r="AJ220" s="13"/>
      <c r="AK220" s="13">
        <v>9.9</v>
      </c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21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>
        <f t="shared" si="42"/>
        <v>0</v>
      </c>
      <c r="BN220" s="22">
        <f t="shared" si="43"/>
        <v>9.9</v>
      </c>
      <c r="BO220" s="23" t="str">
        <f t="shared" si="44"/>
        <v>ok</v>
      </c>
      <c r="BP220" s="22">
        <f t="shared" si="45"/>
        <v>22.5</v>
      </c>
      <c r="BQ220" s="22" t="str">
        <f t="shared" si="46"/>
        <v>ok</v>
      </c>
      <c r="BR220" s="56"/>
    </row>
    <row r="221" spans="1:70" s="12" customFormat="1" ht="24.95" customHeight="1" x14ac:dyDescent="0.25">
      <c r="A221" s="4" t="s">
        <v>459</v>
      </c>
      <c r="B221" s="15" t="s">
        <v>460</v>
      </c>
      <c r="C221" s="5">
        <v>70010</v>
      </c>
      <c r="D221" s="5" t="s">
        <v>730</v>
      </c>
      <c r="E221" s="16" t="s">
        <v>947</v>
      </c>
      <c r="F221" s="16">
        <v>2</v>
      </c>
      <c r="G221" s="16">
        <v>0</v>
      </c>
      <c r="H221" s="16">
        <v>0</v>
      </c>
      <c r="I221" s="16" t="s">
        <v>15</v>
      </c>
      <c r="J221" s="17"/>
      <c r="K221" s="17"/>
      <c r="L221" s="17"/>
      <c r="M221" s="17"/>
      <c r="N221" s="17"/>
      <c r="O221" s="13"/>
      <c r="P221" s="13"/>
      <c r="Q221" s="13">
        <v>11</v>
      </c>
      <c r="R221" s="6">
        <v>25</v>
      </c>
      <c r="S221" s="7">
        <v>0.08</v>
      </c>
      <c r="T221" s="62">
        <v>33</v>
      </c>
      <c r="U221" s="16">
        <v>9.9</v>
      </c>
      <c r="V221" s="16"/>
      <c r="W221" s="16">
        <v>40.5</v>
      </c>
      <c r="X221" s="18">
        <v>40.5</v>
      </c>
      <c r="Y221" s="16">
        <f t="shared" si="47"/>
        <v>0</v>
      </c>
      <c r="Z221" s="16">
        <f t="shared" si="48"/>
        <v>9.9</v>
      </c>
      <c r="AA221" s="4">
        <v>12</v>
      </c>
      <c r="AB221" s="4">
        <v>0</v>
      </c>
      <c r="AC221" s="4">
        <v>0</v>
      </c>
      <c r="AD221" s="4">
        <v>0</v>
      </c>
      <c r="AE221" s="19">
        <v>12</v>
      </c>
      <c r="AF221" s="13">
        <f t="shared" si="49"/>
        <v>3</v>
      </c>
      <c r="AG221" s="20">
        <f t="shared" si="41"/>
        <v>46031</v>
      </c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>
        <v>9.9</v>
      </c>
      <c r="BM221" s="13">
        <f t="shared" si="42"/>
        <v>9.9</v>
      </c>
      <c r="BN221" s="22">
        <f t="shared" si="43"/>
        <v>0</v>
      </c>
      <c r="BO221" s="23" t="str">
        <f t="shared" si="44"/>
        <v>ok</v>
      </c>
      <c r="BP221" s="22">
        <f t="shared" si="45"/>
        <v>40.5</v>
      </c>
      <c r="BQ221" s="22" t="str">
        <f t="shared" si="46"/>
        <v>ok</v>
      </c>
      <c r="BR221" s="56"/>
    </row>
    <row r="222" spans="1:70" s="12" customFormat="1" ht="24.95" customHeight="1" x14ac:dyDescent="0.25">
      <c r="A222" s="4" t="s">
        <v>461</v>
      </c>
      <c r="B222" s="15" t="s">
        <v>462</v>
      </c>
      <c r="C222" s="5">
        <v>7000011</v>
      </c>
      <c r="D222" s="5" t="s">
        <v>731</v>
      </c>
      <c r="E222" s="16" t="s">
        <v>948</v>
      </c>
      <c r="F222" s="16">
        <v>1</v>
      </c>
      <c r="G222" s="16">
        <v>0</v>
      </c>
      <c r="H222" s="16">
        <v>0</v>
      </c>
      <c r="I222" s="16" t="s">
        <v>14</v>
      </c>
      <c r="J222" s="17"/>
      <c r="K222" s="17"/>
      <c r="L222" s="17"/>
      <c r="M222" s="17"/>
      <c r="N222" s="17"/>
      <c r="O222" s="13"/>
      <c r="P222" s="13"/>
      <c r="Q222" s="13">
        <v>28</v>
      </c>
      <c r="R222" s="6">
        <v>24</v>
      </c>
      <c r="S222" s="7">
        <v>0.19</v>
      </c>
      <c r="T222" s="62">
        <v>33</v>
      </c>
      <c r="U222" s="16">
        <v>13.5</v>
      </c>
      <c r="V222" s="16"/>
      <c r="W222" s="16">
        <v>33</v>
      </c>
      <c r="X222" s="18">
        <v>33</v>
      </c>
      <c r="Y222" s="16">
        <f t="shared" si="47"/>
        <v>0</v>
      </c>
      <c r="Z222" s="16">
        <f t="shared" si="48"/>
        <v>13.5</v>
      </c>
      <c r="AA222" s="4">
        <v>0</v>
      </c>
      <c r="AB222" s="4">
        <v>0</v>
      </c>
      <c r="AC222" s="4">
        <v>0</v>
      </c>
      <c r="AD222" s="4">
        <v>0</v>
      </c>
      <c r="AE222" s="19">
        <v>0</v>
      </c>
      <c r="AF222" s="13">
        <f t="shared" si="49"/>
        <v>2</v>
      </c>
      <c r="AG222" s="20">
        <f t="shared" si="41"/>
        <v>46031</v>
      </c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21"/>
      <c r="AW222" s="13"/>
      <c r="AX222" s="13"/>
      <c r="AY222" s="13"/>
      <c r="AZ222" s="13">
        <v>13.5</v>
      </c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>
        <f t="shared" si="42"/>
        <v>0</v>
      </c>
      <c r="BN222" s="22">
        <f t="shared" si="43"/>
        <v>13.5</v>
      </c>
      <c r="BO222" s="23" t="str">
        <f t="shared" si="44"/>
        <v>ok</v>
      </c>
      <c r="BP222" s="22">
        <f t="shared" si="45"/>
        <v>33</v>
      </c>
      <c r="BQ222" s="22" t="str">
        <f t="shared" si="46"/>
        <v>ok</v>
      </c>
      <c r="BR222" s="56"/>
    </row>
    <row r="223" spans="1:70" s="12" customFormat="1" ht="24.95" customHeight="1" x14ac:dyDescent="0.25">
      <c r="A223" s="4" t="s">
        <v>463</v>
      </c>
      <c r="B223" s="15" t="s">
        <v>464</v>
      </c>
      <c r="C223" s="5">
        <v>700012</v>
      </c>
      <c r="D223" s="5" t="s">
        <v>731</v>
      </c>
      <c r="E223" s="16" t="s">
        <v>872</v>
      </c>
      <c r="F223" s="16">
        <v>4</v>
      </c>
      <c r="G223" s="16">
        <v>0</v>
      </c>
      <c r="H223" s="16">
        <v>0</v>
      </c>
      <c r="I223" s="16" t="s">
        <v>15</v>
      </c>
      <c r="J223" s="17"/>
      <c r="K223" s="17"/>
      <c r="L223" s="17"/>
      <c r="M223" s="17"/>
      <c r="N223" s="17"/>
      <c r="O223" s="13"/>
      <c r="P223" s="13"/>
      <c r="Q223" s="13">
        <v>24</v>
      </c>
      <c r="R223" s="6">
        <v>21</v>
      </c>
      <c r="S223" s="7">
        <v>0.19</v>
      </c>
      <c r="T223" s="62">
        <v>33</v>
      </c>
      <c r="U223" s="16">
        <v>23.400000000000002</v>
      </c>
      <c r="V223" s="16"/>
      <c r="W223" s="16">
        <v>135</v>
      </c>
      <c r="X223" s="18">
        <v>135</v>
      </c>
      <c r="Y223" s="16">
        <f t="shared" si="47"/>
        <v>0</v>
      </c>
      <c r="Z223" s="16">
        <f t="shared" si="48"/>
        <v>23.4</v>
      </c>
      <c r="AA223" s="4">
        <v>0</v>
      </c>
      <c r="AB223" s="4">
        <v>12</v>
      </c>
      <c r="AC223" s="4">
        <v>0</v>
      </c>
      <c r="AD223" s="4">
        <v>0</v>
      </c>
      <c r="AE223" s="19">
        <v>12</v>
      </c>
      <c r="AF223" s="13">
        <f t="shared" si="49"/>
        <v>2</v>
      </c>
      <c r="AG223" s="20">
        <f t="shared" si="41"/>
        <v>46031</v>
      </c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>
        <v>23.4</v>
      </c>
      <c r="AT223" s="13"/>
      <c r="AU223" s="13"/>
      <c r="AV223" s="21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>
        <f t="shared" si="42"/>
        <v>3.5527136788005009E-15</v>
      </c>
      <c r="BN223" s="22">
        <f t="shared" si="43"/>
        <v>23.4</v>
      </c>
      <c r="BO223" s="23" t="str">
        <f t="shared" si="44"/>
        <v>ok</v>
      </c>
      <c r="BP223" s="22">
        <f t="shared" si="45"/>
        <v>135</v>
      </c>
      <c r="BQ223" s="22" t="str">
        <f t="shared" si="46"/>
        <v>ok</v>
      </c>
      <c r="BR223" s="56"/>
    </row>
    <row r="224" spans="1:70" s="12" customFormat="1" ht="24.95" customHeight="1" x14ac:dyDescent="0.25">
      <c r="A224" s="4" t="s">
        <v>465</v>
      </c>
      <c r="B224" s="15" t="s">
        <v>466</v>
      </c>
      <c r="C224" s="5">
        <v>700012</v>
      </c>
      <c r="D224" s="5" t="s">
        <v>731</v>
      </c>
      <c r="E224" s="16" t="s">
        <v>886</v>
      </c>
      <c r="F224" s="16">
        <v>3</v>
      </c>
      <c r="G224" s="16">
        <v>0</v>
      </c>
      <c r="H224" s="16">
        <v>0</v>
      </c>
      <c r="I224" s="16" t="s">
        <v>15</v>
      </c>
      <c r="J224" s="17"/>
      <c r="K224" s="17"/>
      <c r="L224" s="17"/>
      <c r="M224" s="17"/>
      <c r="N224" s="17"/>
      <c r="O224" s="13"/>
      <c r="P224" s="13"/>
      <c r="Q224" s="13">
        <v>11</v>
      </c>
      <c r="R224" s="6">
        <v>8</v>
      </c>
      <c r="S224" s="7">
        <v>0.19</v>
      </c>
      <c r="T224" s="62">
        <v>33</v>
      </c>
      <c r="U224" s="16">
        <v>18</v>
      </c>
      <c r="V224" s="16"/>
      <c r="W224" s="16">
        <v>90</v>
      </c>
      <c r="X224" s="18">
        <v>90</v>
      </c>
      <c r="Y224" s="16">
        <f t="shared" si="47"/>
        <v>0</v>
      </c>
      <c r="Z224" s="16">
        <f t="shared" si="48"/>
        <v>18</v>
      </c>
      <c r="AA224" s="4">
        <v>0</v>
      </c>
      <c r="AB224" s="4">
        <v>0</v>
      </c>
      <c r="AC224" s="4">
        <v>0</v>
      </c>
      <c r="AD224" s="4">
        <v>0</v>
      </c>
      <c r="AE224" s="19">
        <v>0</v>
      </c>
      <c r="AF224" s="13">
        <f t="shared" si="49"/>
        <v>2</v>
      </c>
      <c r="AG224" s="20">
        <f t="shared" si="41"/>
        <v>46031</v>
      </c>
      <c r="AH224" s="13"/>
      <c r="AI224" s="13"/>
      <c r="AJ224" s="13"/>
      <c r="AK224" s="13"/>
      <c r="AL224" s="13"/>
      <c r="AM224" s="13"/>
      <c r="AN224" s="13"/>
      <c r="AO224" s="13"/>
      <c r="AP224" s="13"/>
      <c r="AQ224" s="13">
        <v>18</v>
      </c>
      <c r="AR224" s="13"/>
      <c r="AS224" s="13"/>
      <c r="AT224" s="13"/>
      <c r="AU224" s="13"/>
      <c r="AV224" s="21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>
        <f t="shared" si="42"/>
        <v>0</v>
      </c>
      <c r="BN224" s="22">
        <f t="shared" si="43"/>
        <v>18</v>
      </c>
      <c r="BO224" s="23" t="str">
        <f t="shared" si="44"/>
        <v>ok</v>
      </c>
      <c r="BP224" s="22">
        <f t="shared" si="45"/>
        <v>90</v>
      </c>
      <c r="BQ224" s="22" t="str">
        <f t="shared" si="46"/>
        <v>ok</v>
      </c>
      <c r="BR224" s="56"/>
    </row>
    <row r="225" spans="1:70" s="12" customFormat="1" ht="24.95" customHeight="1" x14ac:dyDescent="0.25">
      <c r="A225" s="4" t="s">
        <v>467</v>
      </c>
      <c r="B225" s="15" t="s">
        <v>468</v>
      </c>
      <c r="C225" s="5">
        <v>700012</v>
      </c>
      <c r="D225" s="5" t="s">
        <v>731</v>
      </c>
      <c r="E225" s="16" t="s">
        <v>890</v>
      </c>
      <c r="F225" s="16">
        <v>2</v>
      </c>
      <c r="G225" s="16">
        <v>0</v>
      </c>
      <c r="H225" s="16">
        <v>0</v>
      </c>
      <c r="I225" s="16" t="s">
        <v>15</v>
      </c>
      <c r="J225" s="17"/>
      <c r="K225" s="17"/>
      <c r="L225" s="17"/>
      <c r="M225" s="17"/>
      <c r="N225" s="17"/>
      <c r="O225" s="13"/>
      <c r="P225" s="13"/>
      <c r="Q225" s="13">
        <v>11</v>
      </c>
      <c r="R225" s="6">
        <v>8</v>
      </c>
      <c r="S225" s="7">
        <v>0.19</v>
      </c>
      <c r="T225" s="62">
        <v>33</v>
      </c>
      <c r="U225" s="16">
        <v>27.900000000000002</v>
      </c>
      <c r="V225" s="16"/>
      <c r="W225" s="16">
        <v>55.5</v>
      </c>
      <c r="X225" s="18">
        <v>55.5</v>
      </c>
      <c r="Y225" s="16">
        <f t="shared" si="47"/>
        <v>0</v>
      </c>
      <c r="Z225" s="16">
        <f t="shared" si="48"/>
        <v>27.9</v>
      </c>
      <c r="AA225" s="4">
        <v>12</v>
      </c>
      <c r="AB225" s="4">
        <v>0</v>
      </c>
      <c r="AC225" s="4">
        <v>0</v>
      </c>
      <c r="AD225" s="4">
        <v>0</v>
      </c>
      <c r="AE225" s="19">
        <v>12</v>
      </c>
      <c r="AF225" s="13">
        <f t="shared" si="49"/>
        <v>2</v>
      </c>
      <c r="AG225" s="20">
        <f t="shared" si="41"/>
        <v>46031</v>
      </c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13"/>
      <c r="AZ225" s="13"/>
      <c r="BA225" s="13"/>
      <c r="BB225" s="13"/>
      <c r="BC225" s="13"/>
      <c r="BD225" s="13"/>
      <c r="BE225" s="13">
        <v>27.9</v>
      </c>
      <c r="BF225" s="13"/>
      <c r="BG225" s="13"/>
      <c r="BH225" s="13"/>
      <c r="BI225" s="13"/>
      <c r="BJ225" s="13"/>
      <c r="BK225" s="13"/>
      <c r="BL225" s="13"/>
      <c r="BM225" s="13">
        <f t="shared" si="42"/>
        <v>3.5527136788005009E-15</v>
      </c>
      <c r="BN225" s="22">
        <f t="shared" si="43"/>
        <v>27.9</v>
      </c>
      <c r="BO225" s="23" t="str">
        <f t="shared" si="44"/>
        <v>ok</v>
      </c>
      <c r="BP225" s="22">
        <f t="shared" si="45"/>
        <v>55.5</v>
      </c>
      <c r="BQ225" s="22" t="str">
        <f t="shared" si="46"/>
        <v>ok</v>
      </c>
      <c r="BR225" s="56"/>
    </row>
    <row r="226" spans="1:70" s="12" customFormat="1" ht="24.95" customHeight="1" x14ac:dyDescent="0.25">
      <c r="A226" s="4" t="s">
        <v>469</v>
      </c>
      <c r="B226" s="15" t="s">
        <v>470</v>
      </c>
      <c r="C226" s="5">
        <v>700012</v>
      </c>
      <c r="D226" s="5" t="s">
        <v>731</v>
      </c>
      <c r="E226" s="16" t="s">
        <v>891</v>
      </c>
      <c r="F226" s="16">
        <v>2</v>
      </c>
      <c r="G226" s="16">
        <v>0</v>
      </c>
      <c r="H226" s="16">
        <v>0</v>
      </c>
      <c r="I226" s="16" t="s">
        <v>15</v>
      </c>
      <c r="J226" s="17"/>
      <c r="K226" s="17"/>
      <c r="L226" s="17"/>
      <c r="M226" s="17"/>
      <c r="N226" s="17"/>
      <c r="O226" s="13"/>
      <c r="P226" s="13"/>
      <c r="Q226" s="13">
        <v>25</v>
      </c>
      <c r="R226" s="6">
        <v>22</v>
      </c>
      <c r="S226" s="7">
        <v>0.19</v>
      </c>
      <c r="T226" s="62">
        <v>33</v>
      </c>
      <c r="U226" s="16">
        <v>12.6</v>
      </c>
      <c r="V226" s="16"/>
      <c r="W226" s="16">
        <v>52.5</v>
      </c>
      <c r="X226" s="18">
        <v>52.5</v>
      </c>
      <c r="Y226" s="16">
        <f t="shared" si="47"/>
        <v>0</v>
      </c>
      <c r="Z226" s="16">
        <f t="shared" si="48"/>
        <v>12.6</v>
      </c>
      <c r="AA226" s="4">
        <v>0</v>
      </c>
      <c r="AB226" s="4">
        <v>0</v>
      </c>
      <c r="AC226" s="4">
        <v>0</v>
      </c>
      <c r="AD226" s="4">
        <v>0</v>
      </c>
      <c r="AE226" s="19">
        <v>0</v>
      </c>
      <c r="AF226" s="13">
        <f t="shared" si="49"/>
        <v>2</v>
      </c>
      <c r="AG226" s="20">
        <f t="shared" si="41"/>
        <v>46031</v>
      </c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21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>
        <v>12.6</v>
      </c>
      <c r="BJ226" s="13"/>
      <c r="BK226" s="13"/>
      <c r="BL226" s="13"/>
      <c r="BM226" s="13">
        <f t="shared" si="42"/>
        <v>0</v>
      </c>
      <c r="BN226" s="22">
        <f t="shared" si="43"/>
        <v>12.6</v>
      </c>
      <c r="BO226" s="23" t="str">
        <f t="shared" si="44"/>
        <v>ok</v>
      </c>
      <c r="BP226" s="22">
        <f t="shared" si="45"/>
        <v>52.5</v>
      </c>
      <c r="BQ226" s="22" t="str">
        <f t="shared" si="46"/>
        <v>ok</v>
      </c>
      <c r="BR226" s="56"/>
    </row>
    <row r="227" spans="1:70" s="12" customFormat="1" ht="24.95" customHeight="1" x14ac:dyDescent="0.25">
      <c r="A227" s="4" t="s">
        <v>471</v>
      </c>
      <c r="B227" s="15" t="s">
        <v>472</v>
      </c>
      <c r="C227" s="5">
        <v>700012</v>
      </c>
      <c r="D227" s="5" t="s">
        <v>731</v>
      </c>
      <c r="E227" s="16" t="s">
        <v>949</v>
      </c>
      <c r="F227" s="16">
        <v>2</v>
      </c>
      <c r="G227" s="16">
        <v>0</v>
      </c>
      <c r="H227" s="16">
        <v>0</v>
      </c>
      <c r="I227" s="16" t="s">
        <v>15</v>
      </c>
      <c r="J227" s="17"/>
      <c r="K227" s="17"/>
      <c r="L227" s="17"/>
      <c r="M227" s="17"/>
      <c r="N227" s="17"/>
      <c r="O227" s="13"/>
      <c r="P227" s="13"/>
      <c r="Q227" s="13">
        <v>122</v>
      </c>
      <c r="R227" s="6">
        <v>106</v>
      </c>
      <c r="S227" s="7">
        <v>0.19</v>
      </c>
      <c r="T227" s="62">
        <v>33</v>
      </c>
      <c r="U227" s="16">
        <v>12.6</v>
      </c>
      <c r="V227" s="16"/>
      <c r="W227" s="16">
        <v>30</v>
      </c>
      <c r="X227" s="18">
        <v>30</v>
      </c>
      <c r="Y227" s="16">
        <f t="shared" si="47"/>
        <v>0</v>
      </c>
      <c r="Z227" s="16">
        <f t="shared" si="48"/>
        <v>12.6</v>
      </c>
      <c r="AA227" s="4">
        <v>0</v>
      </c>
      <c r="AB227" s="4">
        <v>0</v>
      </c>
      <c r="AC227" s="4">
        <v>0</v>
      </c>
      <c r="AD227" s="4">
        <v>0</v>
      </c>
      <c r="AE227" s="19">
        <v>0</v>
      </c>
      <c r="AF227" s="13">
        <f t="shared" si="49"/>
        <v>2</v>
      </c>
      <c r="AG227" s="20">
        <f t="shared" si="41"/>
        <v>46031</v>
      </c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21"/>
      <c r="AW227" s="13"/>
      <c r="AX227" s="13"/>
      <c r="AY227" s="13"/>
      <c r="AZ227" s="13"/>
      <c r="BA227" s="13"/>
      <c r="BB227" s="13"/>
      <c r="BC227" s="13"/>
      <c r="BD227" s="13">
        <v>12.6</v>
      </c>
      <c r="BE227" s="13"/>
      <c r="BF227" s="13"/>
      <c r="BG227" s="13"/>
      <c r="BH227" s="13"/>
      <c r="BI227" s="13"/>
      <c r="BJ227" s="13"/>
      <c r="BK227" s="13"/>
      <c r="BL227" s="13"/>
      <c r="BM227" s="13">
        <f t="shared" si="42"/>
        <v>0</v>
      </c>
      <c r="BN227" s="22">
        <f t="shared" si="43"/>
        <v>12.6</v>
      </c>
      <c r="BO227" s="23" t="str">
        <f t="shared" si="44"/>
        <v>ok</v>
      </c>
      <c r="BP227" s="22">
        <f t="shared" si="45"/>
        <v>30</v>
      </c>
      <c r="BQ227" s="22" t="str">
        <f t="shared" si="46"/>
        <v>ok</v>
      </c>
      <c r="BR227" s="56"/>
    </row>
    <row r="228" spans="1:70" s="12" customFormat="1" ht="24.95" customHeight="1" x14ac:dyDescent="0.25">
      <c r="A228" s="4" t="s">
        <v>473</v>
      </c>
      <c r="B228" s="15" t="s">
        <v>474</v>
      </c>
      <c r="C228" s="5">
        <v>7000013</v>
      </c>
      <c r="D228" s="5" t="s">
        <v>731</v>
      </c>
      <c r="E228" s="16" t="s">
        <v>872</v>
      </c>
      <c r="F228" s="16">
        <v>4</v>
      </c>
      <c r="G228" s="16">
        <v>0</v>
      </c>
      <c r="H228" s="16">
        <v>0</v>
      </c>
      <c r="I228" s="16" t="s">
        <v>15</v>
      </c>
      <c r="J228" s="17"/>
      <c r="K228" s="17"/>
      <c r="L228" s="17"/>
      <c r="M228" s="17"/>
      <c r="N228" s="17"/>
      <c r="O228" s="13"/>
      <c r="P228" s="13"/>
      <c r="Q228" s="13">
        <v>13</v>
      </c>
      <c r="R228" s="6">
        <v>10</v>
      </c>
      <c r="S228" s="7">
        <v>0.19</v>
      </c>
      <c r="T228" s="62">
        <v>33</v>
      </c>
      <c r="U228" s="16">
        <v>19.8</v>
      </c>
      <c r="V228" s="16"/>
      <c r="W228" s="16">
        <v>135</v>
      </c>
      <c r="X228" s="18">
        <v>135</v>
      </c>
      <c r="Y228" s="16">
        <f t="shared" si="47"/>
        <v>0</v>
      </c>
      <c r="Z228" s="16">
        <f t="shared" si="48"/>
        <v>19.8</v>
      </c>
      <c r="AA228" s="4">
        <v>0</v>
      </c>
      <c r="AB228" s="4">
        <v>12</v>
      </c>
      <c r="AC228" s="4">
        <v>0</v>
      </c>
      <c r="AD228" s="4">
        <v>0</v>
      </c>
      <c r="AE228" s="19">
        <v>12</v>
      </c>
      <c r="AF228" s="13">
        <f t="shared" si="49"/>
        <v>2</v>
      </c>
      <c r="AG228" s="20">
        <f t="shared" si="41"/>
        <v>46031</v>
      </c>
      <c r="AH228" s="13"/>
      <c r="AI228" s="13"/>
      <c r="AJ228" s="13"/>
      <c r="AK228" s="13">
        <v>19.8</v>
      </c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21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>
        <f t="shared" si="42"/>
        <v>0</v>
      </c>
      <c r="BN228" s="22">
        <f t="shared" si="43"/>
        <v>19.8</v>
      </c>
      <c r="BO228" s="23" t="str">
        <f t="shared" si="44"/>
        <v>ok</v>
      </c>
      <c r="BP228" s="22">
        <f t="shared" si="45"/>
        <v>135</v>
      </c>
      <c r="BQ228" s="22" t="str">
        <f t="shared" si="46"/>
        <v>ok</v>
      </c>
      <c r="BR228" s="56"/>
    </row>
    <row r="229" spans="1:70" s="12" customFormat="1" ht="24.95" customHeight="1" x14ac:dyDescent="0.25">
      <c r="A229" s="4" t="s">
        <v>475</v>
      </c>
      <c r="B229" s="15" t="s">
        <v>476</v>
      </c>
      <c r="C229" s="5">
        <v>7000013</v>
      </c>
      <c r="D229" s="5" t="s">
        <v>731</v>
      </c>
      <c r="E229" s="16" t="s">
        <v>949</v>
      </c>
      <c r="F229" s="16">
        <v>2</v>
      </c>
      <c r="G229" s="16">
        <v>0</v>
      </c>
      <c r="H229" s="16">
        <v>0</v>
      </c>
      <c r="I229" s="16" t="s">
        <v>15</v>
      </c>
      <c r="J229" s="17"/>
      <c r="K229" s="17"/>
      <c r="L229" s="17"/>
      <c r="M229" s="17"/>
      <c r="N229" s="17"/>
      <c r="O229" s="13"/>
      <c r="P229" s="13"/>
      <c r="Q229" s="13">
        <v>30</v>
      </c>
      <c r="R229" s="6">
        <v>24</v>
      </c>
      <c r="S229" s="7">
        <v>0.19</v>
      </c>
      <c r="T229" s="62">
        <v>33</v>
      </c>
      <c r="U229" s="16">
        <v>10.8</v>
      </c>
      <c r="V229" s="16"/>
      <c r="W229" s="16">
        <v>30</v>
      </c>
      <c r="X229" s="18">
        <v>30</v>
      </c>
      <c r="Y229" s="16">
        <f t="shared" si="47"/>
        <v>0</v>
      </c>
      <c r="Z229" s="16">
        <f t="shared" si="48"/>
        <v>10.8</v>
      </c>
      <c r="AA229" s="4">
        <v>0</v>
      </c>
      <c r="AB229" s="4">
        <v>0</v>
      </c>
      <c r="AC229" s="4">
        <v>0</v>
      </c>
      <c r="AD229" s="4">
        <v>0</v>
      </c>
      <c r="AE229" s="19">
        <v>0</v>
      </c>
      <c r="AF229" s="13">
        <f t="shared" si="49"/>
        <v>2</v>
      </c>
      <c r="AG229" s="20">
        <f t="shared" si="41"/>
        <v>46031</v>
      </c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>
        <v>10.8</v>
      </c>
      <c r="BI229" s="13"/>
      <c r="BJ229" s="13"/>
      <c r="BK229" s="13"/>
      <c r="BL229" s="13"/>
      <c r="BM229" s="13">
        <f t="shared" si="42"/>
        <v>0</v>
      </c>
      <c r="BN229" s="22">
        <f t="shared" si="43"/>
        <v>10.8</v>
      </c>
      <c r="BO229" s="23" t="str">
        <f t="shared" si="44"/>
        <v>ok</v>
      </c>
      <c r="BP229" s="22">
        <f t="shared" si="45"/>
        <v>30</v>
      </c>
      <c r="BQ229" s="22" t="str">
        <f t="shared" si="46"/>
        <v>ok</v>
      </c>
      <c r="BR229" s="56"/>
    </row>
    <row r="230" spans="1:70" s="12" customFormat="1" ht="24.95" customHeight="1" x14ac:dyDescent="0.25">
      <c r="A230" s="4" t="s">
        <v>477</v>
      </c>
      <c r="B230" s="15" t="s">
        <v>478</v>
      </c>
      <c r="C230" s="5">
        <v>7000014</v>
      </c>
      <c r="D230" s="5" t="s">
        <v>731</v>
      </c>
      <c r="E230" s="16" t="s">
        <v>950</v>
      </c>
      <c r="F230" s="16">
        <v>1</v>
      </c>
      <c r="G230" s="16">
        <v>0</v>
      </c>
      <c r="H230" s="16">
        <v>0</v>
      </c>
      <c r="I230" s="16" t="s">
        <v>15</v>
      </c>
      <c r="J230" s="17"/>
      <c r="K230" s="17"/>
      <c r="L230" s="17"/>
      <c r="M230" s="17"/>
      <c r="N230" s="17"/>
      <c r="O230" s="13"/>
      <c r="P230" s="13"/>
      <c r="Q230" s="13">
        <v>12</v>
      </c>
      <c r="R230" s="6">
        <v>9</v>
      </c>
      <c r="S230" s="7">
        <v>0.18</v>
      </c>
      <c r="T230" s="62">
        <v>33</v>
      </c>
      <c r="U230" s="16">
        <v>9.9</v>
      </c>
      <c r="V230" s="16"/>
      <c r="W230" s="16">
        <v>36</v>
      </c>
      <c r="X230" s="18">
        <v>36</v>
      </c>
      <c r="Y230" s="16">
        <f t="shared" si="47"/>
        <v>0</v>
      </c>
      <c r="Z230" s="16">
        <f t="shared" si="48"/>
        <v>9.9</v>
      </c>
      <c r="AA230" s="4">
        <v>0</v>
      </c>
      <c r="AB230" s="4">
        <v>0</v>
      </c>
      <c r="AC230" s="4">
        <v>0</v>
      </c>
      <c r="AD230" s="4">
        <v>0</v>
      </c>
      <c r="AE230" s="19">
        <v>0</v>
      </c>
      <c r="AF230" s="13">
        <f t="shared" si="49"/>
        <v>2</v>
      </c>
      <c r="AG230" s="20">
        <f t="shared" si="41"/>
        <v>46031</v>
      </c>
      <c r="AH230" s="13"/>
      <c r="AI230" s="13"/>
      <c r="AJ230" s="13">
        <v>9.9</v>
      </c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21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>
        <f t="shared" si="42"/>
        <v>0</v>
      </c>
      <c r="BN230" s="22">
        <f t="shared" si="43"/>
        <v>9.9</v>
      </c>
      <c r="BO230" s="23" t="str">
        <f t="shared" si="44"/>
        <v>ok</v>
      </c>
      <c r="BP230" s="22">
        <f t="shared" si="45"/>
        <v>36</v>
      </c>
      <c r="BQ230" s="22" t="str">
        <f t="shared" si="46"/>
        <v>ok</v>
      </c>
      <c r="BR230" s="56"/>
    </row>
    <row r="231" spans="1:70" s="12" customFormat="1" ht="24.95" customHeight="1" x14ac:dyDescent="0.25">
      <c r="A231" s="4" t="s">
        <v>479</v>
      </c>
      <c r="B231" s="15" t="s">
        <v>480</v>
      </c>
      <c r="C231" s="5">
        <v>7000015</v>
      </c>
      <c r="D231" s="5" t="s">
        <v>731</v>
      </c>
      <c r="E231" s="16" t="s">
        <v>951</v>
      </c>
      <c r="F231" s="16">
        <v>1</v>
      </c>
      <c r="G231" s="16">
        <v>0</v>
      </c>
      <c r="H231" s="16">
        <v>0</v>
      </c>
      <c r="I231" s="16" t="s">
        <v>15</v>
      </c>
      <c r="J231" s="17"/>
      <c r="K231" s="17"/>
      <c r="L231" s="17"/>
      <c r="M231" s="17"/>
      <c r="N231" s="17"/>
      <c r="O231" s="13"/>
      <c r="P231" s="13"/>
      <c r="Q231" s="13">
        <v>82</v>
      </c>
      <c r="R231" s="6">
        <v>71</v>
      </c>
      <c r="S231" s="7">
        <v>0.18</v>
      </c>
      <c r="T231" s="62">
        <v>33</v>
      </c>
      <c r="U231" s="16">
        <v>10.8</v>
      </c>
      <c r="V231" s="16"/>
      <c r="W231" s="16">
        <v>30</v>
      </c>
      <c r="X231" s="18">
        <v>30</v>
      </c>
      <c r="Y231" s="16">
        <f t="shared" si="47"/>
        <v>0</v>
      </c>
      <c r="Z231" s="16">
        <f t="shared" si="48"/>
        <v>10.8</v>
      </c>
      <c r="AA231" s="4">
        <v>0</v>
      </c>
      <c r="AB231" s="4">
        <v>0</v>
      </c>
      <c r="AC231" s="4">
        <v>0</v>
      </c>
      <c r="AD231" s="4">
        <v>0</v>
      </c>
      <c r="AE231" s="19">
        <v>0</v>
      </c>
      <c r="AF231" s="13">
        <f t="shared" si="49"/>
        <v>2</v>
      </c>
      <c r="AG231" s="20">
        <f t="shared" si="41"/>
        <v>46031</v>
      </c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>
        <v>10.8</v>
      </c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>
        <f t="shared" si="42"/>
        <v>0</v>
      </c>
      <c r="BN231" s="22">
        <f t="shared" si="43"/>
        <v>10.8</v>
      </c>
      <c r="BO231" s="23" t="str">
        <f t="shared" si="44"/>
        <v>ok</v>
      </c>
      <c r="BP231" s="22">
        <f t="shared" si="45"/>
        <v>30</v>
      </c>
      <c r="BQ231" s="22" t="str">
        <f t="shared" si="46"/>
        <v>ok</v>
      </c>
      <c r="BR231" s="56"/>
    </row>
    <row r="232" spans="1:70" s="12" customFormat="1" ht="24.95" customHeight="1" x14ac:dyDescent="0.25">
      <c r="A232" s="4" t="s">
        <v>481</v>
      </c>
      <c r="B232" s="15" t="s">
        <v>482</v>
      </c>
      <c r="C232" s="5">
        <v>70016</v>
      </c>
      <c r="D232" s="5" t="s">
        <v>732</v>
      </c>
      <c r="E232" s="16" t="s">
        <v>952</v>
      </c>
      <c r="F232" s="16">
        <v>1</v>
      </c>
      <c r="G232" s="16">
        <v>0</v>
      </c>
      <c r="H232" s="16">
        <v>0</v>
      </c>
      <c r="I232" s="16" t="s">
        <v>14</v>
      </c>
      <c r="J232" s="17"/>
      <c r="K232" s="17"/>
      <c r="L232" s="17"/>
      <c r="M232" s="17"/>
      <c r="N232" s="17"/>
      <c r="O232" s="13"/>
      <c r="P232" s="13"/>
      <c r="Q232" s="13">
        <v>30</v>
      </c>
      <c r="R232" s="6">
        <v>26</v>
      </c>
      <c r="S232" s="7">
        <v>0.18</v>
      </c>
      <c r="T232" s="62">
        <v>45</v>
      </c>
      <c r="U232" s="16">
        <v>17.100000000000001</v>
      </c>
      <c r="V232" s="16"/>
      <c r="W232" s="16">
        <v>75</v>
      </c>
      <c r="X232" s="18">
        <v>75</v>
      </c>
      <c r="Y232" s="16">
        <f t="shared" si="47"/>
        <v>0</v>
      </c>
      <c r="Z232" s="16">
        <f t="shared" si="48"/>
        <v>17.100000000000001</v>
      </c>
      <c r="AA232" s="4">
        <v>0</v>
      </c>
      <c r="AB232" s="4">
        <v>0</v>
      </c>
      <c r="AC232" s="4">
        <v>0</v>
      </c>
      <c r="AD232" s="4">
        <v>0</v>
      </c>
      <c r="AE232" s="19">
        <v>0</v>
      </c>
      <c r="AF232" s="13">
        <f t="shared" si="49"/>
        <v>5</v>
      </c>
      <c r="AG232" s="20">
        <f t="shared" si="41"/>
        <v>46031</v>
      </c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21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>
        <v>17.100000000000001</v>
      </c>
      <c r="BH232" s="13"/>
      <c r="BI232" s="13"/>
      <c r="BJ232" s="13"/>
      <c r="BK232" s="13"/>
      <c r="BL232" s="13"/>
      <c r="BM232" s="13">
        <f t="shared" si="42"/>
        <v>0</v>
      </c>
      <c r="BN232" s="22">
        <f t="shared" si="43"/>
        <v>17.100000000000001</v>
      </c>
      <c r="BO232" s="23" t="str">
        <f t="shared" si="44"/>
        <v>ok</v>
      </c>
      <c r="BP232" s="22">
        <f t="shared" si="45"/>
        <v>75</v>
      </c>
      <c r="BQ232" s="22" t="str">
        <f t="shared" si="46"/>
        <v>ok</v>
      </c>
      <c r="BR232" s="56"/>
    </row>
    <row r="233" spans="1:70" s="12" customFormat="1" ht="24.95" customHeight="1" x14ac:dyDescent="0.25">
      <c r="A233" s="4" t="s">
        <v>483</v>
      </c>
      <c r="B233" s="15" t="s">
        <v>484</v>
      </c>
      <c r="C233" s="5">
        <v>70016</v>
      </c>
      <c r="D233" s="5" t="s">
        <v>732</v>
      </c>
      <c r="E233" s="16" t="s">
        <v>953</v>
      </c>
      <c r="F233" s="16">
        <v>1</v>
      </c>
      <c r="G233" s="16">
        <v>0</v>
      </c>
      <c r="H233" s="16">
        <v>0</v>
      </c>
      <c r="I233" s="16" t="s">
        <v>14</v>
      </c>
      <c r="J233" s="17"/>
      <c r="K233" s="17"/>
      <c r="L233" s="17"/>
      <c r="M233" s="17"/>
      <c r="N233" s="17"/>
      <c r="O233" s="13"/>
      <c r="P233" s="13"/>
      <c r="Q233" s="13">
        <v>90</v>
      </c>
      <c r="R233" s="6">
        <v>77</v>
      </c>
      <c r="S233" s="7">
        <v>0.18</v>
      </c>
      <c r="T233" s="62">
        <v>45</v>
      </c>
      <c r="U233" s="16">
        <v>23.400000000000002</v>
      </c>
      <c r="V233" s="16"/>
      <c r="W233" s="16">
        <v>75</v>
      </c>
      <c r="X233" s="18">
        <v>75</v>
      </c>
      <c r="Y233" s="16">
        <f t="shared" si="47"/>
        <v>0</v>
      </c>
      <c r="Z233" s="16">
        <f t="shared" si="48"/>
        <v>23.4</v>
      </c>
      <c r="AA233" s="4">
        <v>0</v>
      </c>
      <c r="AB233" s="4">
        <v>0</v>
      </c>
      <c r="AC233" s="4">
        <v>0</v>
      </c>
      <c r="AD233" s="4">
        <v>0</v>
      </c>
      <c r="AE233" s="19">
        <v>0</v>
      </c>
      <c r="AF233" s="13">
        <f t="shared" si="49"/>
        <v>5</v>
      </c>
      <c r="AG233" s="20">
        <f t="shared" si="41"/>
        <v>46031</v>
      </c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21">
        <v>23.4</v>
      </c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>
        <f t="shared" si="42"/>
        <v>3.5527136788005009E-15</v>
      </c>
      <c r="BN233" s="22">
        <f t="shared" si="43"/>
        <v>23.4</v>
      </c>
      <c r="BO233" s="23" t="str">
        <f t="shared" si="44"/>
        <v>ok</v>
      </c>
      <c r="BP233" s="22">
        <f t="shared" si="45"/>
        <v>75</v>
      </c>
      <c r="BQ233" s="22" t="str">
        <f t="shared" si="46"/>
        <v>ok</v>
      </c>
      <c r="BR233" s="56"/>
    </row>
    <row r="234" spans="1:70" s="12" customFormat="1" ht="24.95" customHeight="1" x14ac:dyDescent="0.25">
      <c r="A234" s="4" t="s">
        <v>485</v>
      </c>
      <c r="B234" s="15" t="s">
        <v>486</v>
      </c>
      <c r="C234" s="5">
        <v>70016</v>
      </c>
      <c r="D234" s="5" t="s">
        <v>732</v>
      </c>
      <c r="E234" s="16" t="s">
        <v>954</v>
      </c>
      <c r="F234" s="16">
        <v>1</v>
      </c>
      <c r="G234" s="16">
        <v>0</v>
      </c>
      <c r="H234" s="16">
        <v>0</v>
      </c>
      <c r="I234" s="16" t="s">
        <v>14</v>
      </c>
      <c r="J234" s="17"/>
      <c r="K234" s="17"/>
      <c r="L234" s="17"/>
      <c r="M234" s="17"/>
      <c r="N234" s="17"/>
      <c r="O234" s="13"/>
      <c r="P234" s="13"/>
      <c r="Q234" s="13">
        <v>39</v>
      </c>
      <c r="R234" s="6">
        <v>33</v>
      </c>
      <c r="S234" s="7">
        <v>0.18</v>
      </c>
      <c r="T234" s="62">
        <v>45</v>
      </c>
      <c r="U234" s="16">
        <v>62.1</v>
      </c>
      <c r="V234" s="16"/>
      <c r="W234" s="16">
        <v>135</v>
      </c>
      <c r="X234" s="18">
        <v>135</v>
      </c>
      <c r="Y234" s="16">
        <f t="shared" si="47"/>
        <v>0</v>
      </c>
      <c r="Z234" s="16">
        <f t="shared" si="48"/>
        <v>62.1</v>
      </c>
      <c r="AA234" s="4">
        <v>0</v>
      </c>
      <c r="AB234" s="4">
        <v>0</v>
      </c>
      <c r="AC234" s="4">
        <v>0</v>
      </c>
      <c r="AD234" s="4">
        <v>0</v>
      </c>
      <c r="AE234" s="31">
        <v>0</v>
      </c>
      <c r="AF234" s="13">
        <f t="shared" si="49"/>
        <v>5</v>
      </c>
      <c r="AG234" s="20">
        <f t="shared" si="41"/>
        <v>46031</v>
      </c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>
        <v>45</v>
      </c>
      <c r="AS234" s="13"/>
      <c r="AT234" s="13"/>
      <c r="AU234" s="13"/>
      <c r="AV234" s="21"/>
      <c r="AW234" s="13"/>
      <c r="AX234" s="13"/>
      <c r="AY234" s="13"/>
      <c r="AZ234" s="13"/>
      <c r="BA234" s="13"/>
      <c r="BB234" s="13"/>
      <c r="BC234" s="13"/>
      <c r="BD234" s="13">
        <v>17.100000000000001</v>
      </c>
      <c r="BE234" s="13"/>
      <c r="BF234" s="13"/>
      <c r="BG234" s="13"/>
      <c r="BH234" s="13"/>
      <c r="BI234" s="13"/>
      <c r="BJ234" s="13"/>
      <c r="BK234" s="13"/>
      <c r="BL234" s="13"/>
      <c r="BM234" s="13">
        <f t="shared" si="42"/>
        <v>0</v>
      </c>
      <c r="BN234" s="22">
        <f t="shared" si="43"/>
        <v>45</v>
      </c>
      <c r="BO234" s="23" t="str">
        <f t="shared" si="44"/>
        <v>ok</v>
      </c>
      <c r="BP234" s="22">
        <f t="shared" si="45"/>
        <v>135</v>
      </c>
      <c r="BQ234" s="22" t="str">
        <f t="shared" si="46"/>
        <v>ok</v>
      </c>
      <c r="BR234" s="56"/>
    </row>
    <row r="235" spans="1:70" s="12" customFormat="1" ht="24.95" customHeight="1" x14ac:dyDescent="0.25">
      <c r="A235" s="4" t="s">
        <v>487</v>
      </c>
      <c r="B235" s="15" t="s">
        <v>488</v>
      </c>
      <c r="C235" s="5">
        <v>70016</v>
      </c>
      <c r="D235" s="5" t="s">
        <v>732</v>
      </c>
      <c r="E235" s="16" t="s">
        <v>955</v>
      </c>
      <c r="F235" s="16">
        <v>1</v>
      </c>
      <c r="G235" s="16">
        <v>0</v>
      </c>
      <c r="H235" s="16">
        <v>0</v>
      </c>
      <c r="I235" s="16" t="s">
        <v>14</v>
      </c>
      <c r="J235" s="17"/>
      <c r="K235" s="17"/>
      <c r="L235" s="17"/>
      <c r="M235" s="17"/>
      <c r="N235" s="17"/>
      <c r="O235" s="13"/>
      <c r="P235" s="13"/>
      <c r="Q235" s="13">
        <v>11</v>
      </c>
      <c r="R235" s="6">
        <v>8</v>
      </c>
      <c r="S235" s="7">
        <v>0.18</v>
      </c>
      <c r="T235" s="62">
        <v>45</v>
      </c>
      <c r="U235" s="16">
        <v>74.7</v>
      </c>
      <c r="V235" s="16"/>
      <c r="W235" s="16">
        <v>75</v>
      </c>
      <c r="X235" s="18">
        <v>75</v>
      </c>
      <c r="Y235" s="16">
        <f t="shared" si="47"/>
        <v>0</v>
      </c>
      <c r="Z235" s="16">
        <f t="shared" si="48"/>
        <v>74.7</v>
      </c>
      <c r="AA235" s="4">
        <v>0</v>
      </c>
      <c r="AB235" s="4">
        <v>0</v>
      </c>
      <c r="AC235" s="4">
        <v>0</v>
      </c>
      <c r="AD235" s="4">
        <v>0</v>
      </c>
      <c r="AE235" s="19">
        <v>0</v>
      </c>
      <c r="AF235" s="13">
        <f t="shared" si="49"/>
        <v>5</v>
      </c>
      <c r="AG235" s="20">
        <f t="shared" si="41"/>
        <v>46031</v>
      </c>
      <c r="AH235" s="24"/>
      <c r="AI235" s="24"/>
      <c r="AJ235" s="24"/>
      <c r="AK235" s="24">
        <v>45</v>
      </c>
      <c r="AL235" s="24">
        <v>29.7</v>
      </c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>
        <f t="shared" si="42"/>
        <v>0</v>
      </c>
      <c r="BN235" s="22">
        <f t="shared" si="43"/>
        <v>45</v>
      </c>
      <c r="BO235" s="23" t="str">
        <f t="shared" si="44"/>
        <v>ok</v>
      </c>
      <c r="BP235" s="22">
        <f t="shared" si="45"/>
        <v>75</v>
      </c>
      <c r="BQ235" s="22" t="str">
        <f t="shared" si="46"/>
        <v>ok</v>
      </c>
      <c r="BR235" s="56"/>
    </row>
    <row r="236" spans="1:70" s="12" customFormat="1" ht="24.95" customHeight="1" x14ac:dyDescent="0.25">
      <c r="A236" s="4" t="s">
        <v>489</v>
      </c>
      <c r="B236" s="15" t="s">
        <v>490</v>
      </c>
      <c r="C236" s="5">
        <v>70016</v>
      </c>
      <c r="D236" s="5" t="s">
        <v>732</v>
      </c>
      <c r="E236" s="16" t="s">
        <v>956</v>
      </c>
      <c r="F236" s="16">
        <v>1</v>
      </c>
      <c r="G236" s="16">
        <v>0</v>
      </c>
      <c r="H236" s="16">
        <v>0</v>
      </c>
      <c r="I236" s="16" t="s">
        <v>14</v>
      </c>
      <c r="J236" s="17"/>
      <c r="K236" s="17"/>
      <c r="L236" s="17"/>
      <c r="M236" s="17"/>
      <c r="N236" s="17"/>
      <c r="O236" s="13"/>
      <c r="P236" s="13"/>
      <c r="Q236" s="13">
        <v>24</v>
      </c>
      <c r="R236" s="6">
        <v>21</v>
      </c>
      <c r="S236" s="7">
        <v>0.18</v>
      </c>
      <c r="T236" s="62">
        <v>45</v>
      </c>
      <c r="U236" s="16">
        <v>58.5</v>
      </c>
      <c r="V236" s="16"/>
      <c r="W236" s="16">
        <v>75</v>
      </c>
      <c r="X236" s="18">
        <v>75</v>
      </c>
      <c r="Y236" s="16">
        <f t="shared" si="47"/>
        <v>0</v>
      </c>
      <c r="Z236" s="16">
        <f t="shared" si="48"/>
        <v>58.5</v>
      </c>
      <c r="AA236" s="4">
        <v>0</v>
      </c>
      <c r="AB236" s="4">
        <v>0</v>
      </c>
      <c r="AC236" s="4">
        <v>0</v>
      </c>
      <c r="AD236" s="4">
        <v>0</v>
      </c>
      <c r="AE236" s="19">
        <v>0</v>
      </c>
      <c r="AF236" s="13">
        <f t="shared" si="49"/>
        <v>5</v>
      </c>
      <c r="AG236" s="20">
        <f t="shared" si="41"/>
        <v>46031</v>
      </c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>
        <v>45</v>
      </c>
      <c r="AV236" s="21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>
        <v>13.5</v>
      </c>
      <c r="BH236" s="13"/>
      <c r="BI236" s="13"/>
      <c r="BJ236" s="13"/>
      <c r="BK236" s="13"/>
      <c r="BL236" s="13"/>
      <c r="BM236" s="13">
        <f t="shared" si="42"/>
        <v>0</v>
      </c>
      <c r="BN236" s="22">
        <f t="shared" si="43"/>
        <v>45</v>
      </c>
      <c r="BO236" s="23" t="str">
        <f t="shared" si="44"/>
        <v>ok</v>
      </c>
      <c r="BP236" s="22">
        <f t="shared" si="45"/>
        <v>75</v>
      </c>
      <c r="BQ236" s="22" t="str">
        <f t="shared" si="46"/>
        <v>ok</v>
      </c>
      <c r="BR236" s="56"/>
    </row>
    <row r="237" spans="1:70" s="12" customFormat="1" ht="24.95" customHeight="1" x14ac:dyDescent="0.25">
      <c r="A237" s="4" t="s">
        <v>491</v>
      </c>
      <c r="B237" s="15" t="s">
        <v>492</v>
      </c>
      <c r="C237" s="5">
        <v>70016</v>
      </c>
      <c r="D237" s="5" t="s">
        <v>732</v>
      </c>
      <c r="E237" s="16" t="s">
        <v>957</v>
      </c>
      <c r="F237" s="16">
        <v>1</v>
      </c>
      <c r="G237" s="16">
        <v>0</v>
      </c>
      <c r="H237" s="16">
        <v>0</v>
      </c>
      <c r="I237" s="16" t="s">
        <v>14</v>
      </c>
      <c r="J237" s="17"/>
      <c r="K237" s="17"/>
      <c r="L237" s="17"/>
      <c r="M237" s="17"/>
      <c r="N237" s="17"/>
      <c r="O237" s="13"/>
      <c r="P237" s="13"/>
      <c r="Q237" s="13">
        <v>11</v>
      </c>
      <c r="R237" s="6">
        <v>8</v>
      </c>
      <c r="S237" s="7">
        <v>0.18</v>
      </c>
      <c r="T237" s="62">
        <v>45</v>
      </c>
      <c r="U237" s="16">
        <v>48.6</v>
      </c>
      <c r="V237" s="16"/>
      <c r="W237" s="16">
        <v>135</v>
      </c>
      <c r="X237" s="18">
        <v>135</v>
      </c>
      <c r="Y237" s="16">
        <f t="shared" si="47"/>
        <v>-3.6000000000000014</v>
      </c>
      <c r="Z237" s="16">
        <f t="shared" si="48"/>
        <v>45</v>
      </c>
      <c r="AA237" s="4">
        <v>0</v>
      </c>
      <c r="AB237" s="4">
        <v>0</v>
      </c>
      <c r="AC237" s="4">
        <v>0</v>
      </c>
      <c r="AD237" s="4">
        <v>0</v>
      </c>
      <c r="AE237" s="19">
        <v>0</v>
      </c>
      <c r="AF237" s="13">
        <f t="shared" si="49"/>
        <v>5</v>
      </c>
      <c r="AG237" s="20">
        <f t="shared" si="41"/>
        <v>46031</v>
      </c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21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>
        <v>45</v>
      </c>
      <c r="BI237" s="13"/>
      <c r="BJ237" s="13"/>
      <c r="BK237" s="13"/>
      <c r="BL237" s="13"/>
      <c r="BM237" s="13">
        <f t="shared" si="42"/>
        <v>3.6000000000000014</v>
      </c>
      <c r="BN237" s="22">
        <f t="shared" si="43"/>
        <v>45</v>
      </c>
      <c r="BO237" s="23" t="str">
        <f t="shared" si="44"/>
        <v>ok</v>
      </c>
      <c r="BP237" s="22">
        <f t="shared" si="45"/>
        <v>135</v>
      </c>
      <c r="BQ237" s="22" t="str">
        <f t="shared" si="46"/>
        <v>ok</v>
      </c>
      <c r="BR237" s="56" t="s">
        <v>28</v>
      </c>
    </row>
    <row r="238" spans="1:70" s="12" customFormat="1" ht="24.95" customHeight="1" x14ac:dyDescent="0.25">
      <c r="A238" s="4" t="s">
        <v>493</v>
      </c>
      <c r="B238" s="15" t="s">
        <v>494</v>
      </c>
      <c r="C238" s="5">
        <v>70016</v>
      </c>
      <c r="D238" s="5" t="s">
        <v>732</v>
      </c>
      <c r="E238" s="16" t="s">
        <v>958</v>
      </c>
      <c r="F238" s="16">
        <v>1</v>
      </c>
      <c r="G238" s="16">
        <v>0</v>
      </c>
      <c r="H238" s="16">
        <v>0</v>
      </c>
      <c r="I238" s="16" t="s">
        <v>14</v>
      </c>
      <c r="J238" s="17"/>
      <c r="K238" s="17"/>
      <c r="L238" s="17"/>
      <c r="M238" s="17"/>
      <c r="N238" s="17"/>
      <c r="O238" s="13"/>
      <c r="P238" s="13"/>
      <c r="Q238" s="13">
        <v>11</v>
      </c>
      <c r="R238" s="6">
        <v>8</v>
      </c>
      <c r="S238" s="7">
        <v>0.18</v>
      </c>
      <c r="T238" s="62">
        <v>45</v>
      </c>
      <c r="U238" s="16">
        <v>150.30000000000001</v>
      </c>
      <c r="V238" s="16"/>
      <c r="W238" s="16">
        <v>138</v>
      </c>
      <c r="X238" s="18">
        <v>138</v>
      </c>
      <c r="Y238" s="16">
        <f t="shared" si="47"/>
        <v>0</v>
      </c>
      <c r="Z238" s="16">
        <f t="shared" si="48"/>
        <v>150.30000000000001</v>
      </c>
      <c r="AA238" s="4">
        <v>0</v>
      </c>
      <c r="AB238" s="4">
        <v>0</v>
      </c>
      <c r="AC238" s="4">
        <v>0</v>
      </c>
      <c r="AD238" s="4">
        <v>0</v>
      </c>
      <c r="AE238" s="19">
        <v>0</v>
      </c>
      <c r="AF238" s="13">
        <f t="shared" si="49"/>
        <v>5</v>
      </c>
      <c r="AG238" s="20">
        <f t="shared" si="41"/>
        <v>46031</v>
      </c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>
        <v>45</v>
      </c>
      <c r="AS238" s="24">
        <v>45</v>
      </c>
      <c r="AT238" s="24"/>
      <c r="AU238" s="24"/>
      <c r="AV238" s="24"/>
      <c r="AW238" s="24"/>
      <c r="AX238" s="24"/>
      <c r="AY238" s="13"/>
      <c r="AZ238" s="13">
        <v>45</v>
      </c>
      <c r="BA238" s="13"/>
      <c r="BB238" s="13"/>
      <c r="BC238" s="13"/>
      <c r="BD238" s="13"/>
      <c r="BE238" s="13"/>
      <c r="BF238" s="13"/>
      <c r="BG238" s="13"/>
      <c r="BH238" s="13">
        <v>15.3</v>
      </c>
      <c r="BI238" s="13"/>
      <c r="BJ238" s="13"/>
      <c r="BK238" s="13"/>
      <c r="BL238" s="13"/>
      <c r="BM238" s="13">
        <f t="shared" si="42"/>
        <v>0</v>
      </c>
      <c r="BN238" s="22">
        <f t="shared" si="43"/>
        <v>45</v>
      </c>
      <c r="BO238" s="23" t="str">
        <f t="shared" si="44"/>
        <v>ok</v>
      </c>
      <c r="BP238" s="22">
        <f t="shared" si="45"/>
        <v>138</v>
      </c>
      <c r="BQ238" s="22" t="str">
        <f t="shared" si="46"/>
        <v>ok</v>
      </c>
      <c r="BR238" s="56"/>
    </row>
    <row r="239" spans="1:70" s="12" customFormat="1" ht="24.95" customHeight="1" x14ac:dyDescent="0.25">
      <c r="A239" s="4" t="s">
        <v>495</v>
      </c>
      <c r="B239" s="15" t="s">
        <v>496</v>
      </c>
      <c r="C239" s="5">
        <v>70016</v>
      </c>
      <c r="D239" s="5" t="s">
        <v>732</v>
      </c>
      <c r="E239" s="16" t="s">
        <v>959</v>
      </c>
      <c r="F239" s="16">
        <v>1</v>
      </c>
      <c r="G239" s="16">
        <v>0</v>
      </c>
      <c r="H239" s="16">
        <v>0</v>
      </c>
      <c r="I239" s="16" t="s">
        <v>14</v>
      </c>
      <c r="J239" s="17"/>
      <c r="K239" s="17"/>
      <c r="L239" s="17"/>
      <c r="M239" s="17"/>
      <c r="N239" s="17"/>
      <c r="O239" s="13"/>
      <c r="P239" s="13"/>
      <c r="Q239" s="13">
        <v>242</v>
      </c>
      <c r="R239" s="6">
        <v>210</v>
      </c>
      <c r="S239" s="7">
        <v>0.18</v>
      </c>
      <c r="T239" s="62">
        <v>45</v>
      </c>
      <c r="U239" s="16">
        <v>75.600000000000009</v>
      </c>
      <c r="V239" s="16"/>
      <c r="W239" s="16">
        <v>165</v>
      </c>
      <c r="X239" s="18">
        <v>165</v>
      </c>
      <c r="Y239" s="16">
        <f t="shared" si="47"/>
        <v>0</v>
      </c>
      <c r="Z239" s="16">
        <f t="shared" si="48"/>
        <v>75.599999999999994</v>
      </c>
      <c r="AA239" s="4">
        <v>0</v>
      </c>
      <c r="AB239" s="4">
        <v>0</v>
      </c>
      <c r="AC239" s="4">
        <v>0</v>
      </c>
      <c r="AD239" s="4">
        <v>0</v>
      </c>
      <c r="AE239" s="19">
        <v>0</v>
      </c>
      <c r="AF239" s="13">
        <f t="shared" si="49"/>
        <v>5</v>
      </c>
      <c r="AG239" s="20">
        <f t="shared" si="41"/>
        <v>46031</v>
      </c>
      <c r="AH239" s="24"/>
      <c r="AI239" s="24"/>
      <c r="AJ239" s="24"/>
      <c r="AK239" s="24"/>
      <c r="AL239" s="24"/>
      <c r="AM239" s="24"/>
      <c r="AN239" s="24"/>
      <c r="AO239" s="24">
        <v>30.6</v>
      </c>
      <c r="AP239" s="24"/>
      <c r="AQ239" s="24"/>
      <c r="AR239" s="24"/>
      <c r="AS239" s="24"/>
      <c r="AT239" s="24"/>
      <c r="AU239" s="24"/>
      <c r="AV239" s="24"/>
      <c r="AW239" s="24"/>
      <c r="AX239" s="24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>
        <v>45</v>
      </c>
      <c r="BK239" s="13"/>
      <c r="BL239" s="13"/>
      <c r="BM239" s="13">
        <f t="shared" si="42"/>
        <v>1.4210854715202004E-14</v>
      </c>
      <c r="BN239" s="22">
        <f t="shared" si="43"/>
        <v>45</v>
      </c>
      <c r="BO239" s="23" t="str">
        <f t="shared" si="44"/>
        <v>ok</v>
      </c>
      <c r="BP239" s="22">
        <f t="shared" si="45"/>
        <v>165</v>
      </c>
      <c r="BQ239" s="22" t="str">
        <f t="shared" si="46"/>
        <v>ok</v>
      </c>
      <c r="BR239" s="56"/>
    </row>
    <row r="240" spans="1:70" s="12" customFormat="1" ht="24.95" customHeight="1" x14ac:dyDescent="0.25">
      <c r="A240" s="4" t="s">
        <v>497</v>
      </c>
      <c r="B240" s="15" t="s">
        <v>498</v>
      </c>
      <c r="C240" s="5">
        <v>70016</v>
      </c>
      <c r="D240" s="5" t="s">
        <v>732</v>
      </c>
      <c r="E240" s="16" t="s">
        <v>960</v>
      </c>
      <c r="F240" s="16">
        <v>1</v>
      </c>
      <c r="G240" s="16">
        <v>0</v>
      </c>
      <c r="H240" s="16">
        <v>0</v>
      </c>
      <c r="I240" s="16" t="s">
        <v>14</v>
      </c>
      <c r="J240" s="17"/>
      <c r="K240" s="17"/>
      <c r="L240" s="17"/>
      <c r="M240" s="17"/>
      <c r="N240" s="17"/>
      <c r="O240" s="13"/>
      <c r="P240" s="13"/>
      <c r="Q240" s="13">
        <v>120</v>
      </c>
      <c r="R240" s="6">
        <v>102</v>
      </c>
      <c r="S240" s="7">
        <v>0.18</v>
      </c>
      <c r="T240" s="62">
        <v>45</v>
      </c>
      <c r="U240" s="16">
        <v>108.9</v>
      </c>
      <c r="V240" s="16"/>
      <c r="W240" s="16">
        <v>163.5</v>
      </c>
      <c r="X240" s="18">
        <v>163.5</v>
      </c>
      <c r="Y240" s="16">
        <f t="shared" si="47"/>
        <v>0</v>
      </c>
      <c r="Z240" s="16">
        <f t="shared" si="48"/>
        <v>108.9</v>
      </c>
      <c r="AA240" s="4">
        <v>0</v>
      </c>
      <c r="AB240" s="4">
        <v>0</v>
      </c>
      <c r="AC240" s="4">
        <v>0</v>
      </c>
      <c r="AD240" s="4">
        <v>0</v>
      </c>
      <c r="AE240" s="19">
        <v>0</v>
      </c>
      <c r="AF240" s="13">
        <f t="shared" si="49"/>
        <v>5</v>
      </c>
      <c r="AG240" s="20">
        <f t="shared" si="41"/>
        <v>46031</v>
      </c>
      <c r="AH240" s="13"/>
      <c r="AI240" s="13"/>
      <c r="AJ240" s="13"/>
      <c r="AK240" s="13"/>
      <c r="AL240" s="13"/>
      <c r="AM240" s="13"/>
      <c r="AN240" s="13"/>
      <c r="AO240" s="13"/>
      <c r="AP240" s="13">
        <v>45</v>
      </c>
      <c r="AQ240" s="13"/>
      <c r="AR240" s="13"/>
      <c r="AS240" s="13"/>
      <c r="AT240" s="13"/>
      <c r="AU240" s="13"/>
      <c r="AV240" s="21"/>
      <c r="AW240" s="13">
        <v>18.899999999999999</v>
      </c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>
        <v>45</v>
      </c>
      <c r="BM240" s="13">
        <f t="shared" si="42"/>
        <v>45.000000000000007</v>
      </c>
      <c r="BN240" s="22">
        <f t="shared" si="43"/>
        <v>45</v>
      </c>
      <c r="BO240" s="23" t="str">
        <f t="shared" si="44"/>
        <v>ok</v>
      </c>
      <c r="BP240" s="22">
        <f t="shared" si="45"/>
        <v>163.5</v>
      </c>
      <c r="BQ240" s="22" t="str">
        <f t="shared" si="46"/>
        <v>ok</v>
      </c>
      <c r="BR240" s="56"/>
    </row>
    <row r="241" spans="1:70" s="12" customFormat="1" ht="24.95" customHeight="1" x14ac:dyDescent="0.25">
      <c r="A241" s="4" t="s">
        <v>499</v>
      </c>
      <c r="B241" s="15" t="s">
        <v>500</v>
      </c>
      <c r="C241" s="5">
        <v>70016</v>
      </c>
      <c r="D241" s="5" t="s">
        <v>732</v>
      </c>
      <c r="E241" s="16" t="s">
        <v>961</v>
      </c>
      <c r="F241" s="16">
        <v>1</v>
      </c>
      <c r="G241" s="16">
        <v>0</v>
      </c>
      <c r="H241" s="16">
        <v>0</v>
      </c>
      <c r="I241" s="16" t="s">
        <v>14</v>
      </c>
      <c r="J241" s="17"/>
      <c r="K241" s="17"/>
      <c r="L241" s="17"/>
      <c r="M241" s="17"/>
      <c r="N241" s="17"/>
      <c r="O241" s="13"/>
      <c r="P241" s="13"/>
      <c r="Q241" s="13">
        <v>22</v>
      </c>
      <c r="R241" s="6">
        <v>19</v>
      </c>
      <c r="S241" s="7">
        <v>0.18</v>
      </c>
      <c r="T241" s="62">
        <v>45</v>
      </c>
      <c r="U241" s="16">
        <v>439.2</v>
      </c>
      <c r="V241" s="16"/>
      <c r="W241" s="16">
        <v>175.5</v>
      </c>
      <c r="X241" s="18">
        <v>175.5</v>
      </c>
      <c r="Y241" s="16">
        <f t="shared" si="47"/>
        <v>0</v>
      </c>
      <c r="Z241" s="16">
        <f t="shared" si="48"/>
        <v>439.2</v>
      </c>
      <c r="AA241" s="4">
        <v>0</v>
      </c>
      <c r="AB241" s="4">
        <v>0</v>
      </c>
      <c r="AC241" s="4">
        <v>0</v>
      </c>
      <c r="AD241" s="4">
        <v>0</v>
      </c>
      <c r="AE241" s="19">
        <v>0</v>
      </c>
      <c r="AF241" s="13">
        <f t="shared" si="49"/>
        <v>5</v>
      </c>
      <c r="AG241" s="20">
        <f t="shared" si="41"/>
        <v>46031</v>
      </c>
      <c r="AH241" s="13"/>
      <c r="AI241" s="13">
        <v>45</v>
      </c>
      <c r="AJ241" s="13">
        <v>45</v>
      </c>
      <c r="AK241" s="13"/>
      <c r="AL241" s="13">
        <v>45</v>
      </c>
      <c r="AM241" s="13">
        <v>41</v>
      </c>
      <c r="AN241" s="13"/>
      <c r="AO241" s="13">
        <v>45</v>
      </c>
      <c r="AP241" s="13"/>
      <c r="AQ241" s="13"/>
      <c r="AR241" s="13"/>
      <c r="AS241" s="13">
        <v>45</v>
      </c>
      <c r="AT241" s="13"/>
      <c r="AU241" s="13">
        <v>45</v>
      </c>
      <c r="AV241" s="13">
        <v>45</v>
      </c>
      <c r="AW241" s="13"/>
      <c r="AX241" s="13"/>
      <c r="AY241" s="13"/>
      <c r="AZ241" s="13">
        <v>45</v>
      </c>
      <c r="BA241" s="13"/>
      <c r="BB241" s="13">
        <v>38.200000000000003</v>
      </c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>
        <f t="shared" si="42"/>
        <v>0</v>
      </c>
      <c r="BN241" s="22">
        <f t="shared" si="43"/>
        <v>45</v>
      </c>
      <c r="BO241" s="23" t="str">
        <f t="shared" si="44"/>
        <v>ok</v>
      </c>
      <c r="BP241" s="22">
        <f t="shared" si="45"/>
        <v>175.5</v>
      </c>
      <c r="BQ241" s="22" t="str">
        <f t="shared" si="46"/>
        <v>ok</v>
      </c>
      <c r="BR241" s="56"/>
    </row>
    <row r="242" spans="1:70" s="12" customFormat="1" ht="24.95" customHeight="1" x14ac:dyDescent="0.25">
      <c r="A242" s="4" t="s">
        <v>501</v>
      </c>
      <c r="B242" s="15" t="s">
        <v>502</v>
      </c>
      <c r="C242" s="5">
        <v>70016</v>
      </c>
      <c r="D242" s="5" t="s">
        <v>732</v>
      </c>
      <c r="E242" s="16" t="s">
        <v>962</v>
      </c>
      <c r="F242" s="16">
        <v>1</v>
      </c>
      <c r="G242" s="16">
        <v>0</v>
      </c>
      <c r="H242" s="16">
        <v>0</v>
      </c>
      <c r="I242" s="16" t="s">
        <v>14</v>
      </c>
      <c r="J242" s="17"/>
      <c r="K242" s="17"/>
      <c r="L242" s="17"/>
      <c r="M242" s="17"/>
      <c r="N242" s="17"/>
      <c r="O242" s="13"/>
      <c r="P242" s="13"/>
      <c r="Q242" s="13">
        <v>14</v>
      </c>
      <c r="R242" s="13">
        <v>11</v>
      </c>
      <c r="S242" s="7">
        <v>0.18</v>
      </c>
      <c r="T242" s="62">
        <v>45</v>
      </c>
      <c r="U242" s="16">
        <v>347.40000000000003</v>
      </c>
      <c r="V242" s="16"/>
      <c r="W242" s="16">
        <v>231</v>
      </c>
      <c r="X242" s="18">
        <v>231</v>
      </c>
      <c r="Y242" s="16">
        <f t="shared" si="47"/>
        <v>0</v>
      </c>
      <c r="Z242" s="16">
        <f t="shared" si="48"/>
        <v>347.4</v>
      </c>
      <c r="AA242" s="4">
        <v>0</v>
      </c>
      <c r="AB242" s="4">
        <v>0</v>
      </c>
      <c r="AC242" s="4">
        <v>0</v>
      </c>
      <c r="AD242" s="4">
        <v>45</v>
      </c>
      <c r="AE242" s="19">
        <v>45</v>
      </c>
      <c r="AF242" s="13">
        <f t="shared" si="49"/>
        <v>5</v>
      </c>
      <c r="AG242" s="20">
        <f t="shared" si="41"/>
        <v>46036</v>
      </c>
      <c r="AH242" s="13"/>
      <c r="AI242" s="13">
        <v>45</v>
      </c>
      <c r="AJ242" s="13">
        <v>45</v>
      </c>
      <c r="AK242" s="13"/>
      <c r="AL242" s="13">
        <v>45</v>
      </c>
      <c r="AM242" s="13">
        <v>45</v>
      </c>
      <c r="AN242" s="13"/>
      <c r="AO242" s="13">
        <v>32.4</v>
      </c>
      <c r="AP242" s="13"/>
      <c r="AQ242" s="13"/>
      <c r="AR242" s="13"/>
      <c r="AS242" s="13">
        <v>45</v>
      </c>
      <c r="AT242" s="13"/>
      <c r="AU242" s="13"/>
      <c r="AV242" s="21"/>
      <c r="AW242" s="13"/>
      <c r="AX242" s="13"/>
      <c r="AY242" s="13"/>
      <c r="AZ242" s="13"/>
      <c r="BA242" s="13"/>
      <c r="BB242" s="13">
        <v>45</v>
      </c>
      <c r="BC242" s="13">
        <v>45</v>
      </c>
      <c r="BD242" s="13"/>
      <c r="BE242" s="13"/>
      <c r="BF242" s="13"/>
      <c r="BG242" s="13"/>
      <c r="BH242" s="13"/>
      <c r="BI242" s="13"/>
      <c r="BJ242" s="13"/>
      <c r="BK242" s="13"/>
      <c r="BL242" s="13"/>
      <c r="BM242" s="13">
        <f t="shared" si="42"/>
        <v>5.6843418860808015E-14</v>
      </c>
      <c r="BN242" s="22">
        <f t="shared" si="43"/>
        <v>45</v>
      </c>
      <c r="BO242" s="23" t="str">
        <f t="shared" si="44"/>
        <v>ok</v>
      </c>
      <c r="BP242" s="22">
        <f t="shared" si="45"/>
        <v>231</v>
      </c>
      <c r="BQ242" s="22" t="str">
        <f t="shared" si="46"/>
        <v>ok</v>
      </c>
      <c r="BR242" s="56"/>
    </row>
    <row r="243" spans="1:70" s="12" customFormat="1" ht="24.95" customHeight="1" x14ac:dyDescent="0.25">
      <c r="A243" s="4" t="s">
        <v>503</v>
      </c>
      <c r="B243" s="15" t="s">
        <v>504</v>
      </c>
      <c r="C243" s="5">
        <v>70016</v>
      </c>
      <c r="D243" s="5" t="s">
        <v>732</v>
      </c>
      <c r="E243" s="16" t="s">
        <v>963</v>
      </c>
      <c r="F243" s="16">
        <v>1</v>
      </c>
      <c r="G243" s="16">
        <v>0</v>
      </c>
      <c r="H243" s="16">
        <v>0</v>
      </c>
      <c r="I243" s="16" t="s">
        <v>14</v>
      </c>
      <c r="J243" s="17"/>
      <c r="K243" s="17"/>
      <c r="L243" s="17"/>
      <c r="M243" s="17"/>
      <c r="N243" s="17"/>
      <c r="O243" s="13"/>
      <c r="P243" s="13"/>
      <c r="Q243" s="13">
        <v>19</v>
      </c>
      <c r="R243" s="6">
        <v>16</v>
      </c>
      <c r="S243" s="7">
        <v>0.18</v>
      </c>
      <c r="T243" s="62">
        <v>45</v>
      </c>
      <c r="U243" s="16">
        <v>123.3</v>
      </c>
      <c r="V243" s="16"/>
      <c r="W243" s="16">
        <v>36</v>
      </c>
      <c r="X243" s="18">
        <v>36</v>
      </c>
      <c r="Y243" s="16">
        <f t="shared" si="47"/>
        <v>0</v>
      </c>
      <c r="Z243" s="16">
        <f t="shared" si="48"/>
        <v>123.3</v>
      </c>
      <c r="AA243" s="4">
        <v>0</v>
      </c>
      <c r="AB243" s="4">
        <v>0</v>
      </c>
      <c r="AC243" s="4">
        <v>0</v>
      </c>
      <c r="AD243" s="4">
        <v>0</v>
      </c>
      <c r="AE243" s="19">
        <v>0</v>
      </c>
      <c r="AF243" s="13">
        <f t="shared" si="49"/>
        <v>5</v>
      </c>
      <c r="AG243" s="20">
        <f t="shared" si="41"/>
        <v>46031</v>
      </c>
      <c r="AH243" s="13"/>
      <c r="AI243" s="13">
        <v>36</v>
      </c>
      <c r="AJ243" s="13"/>
      <c r="AK243" s="13"/>
      <c r="AL243" s="13"/>
      <c r="AM243" s="13"/>
      <c r="AN243" s="13"/>
      <c r="AO243" s="13">
        <v>15.3</v>
      </c>
      <c r="AP243" s="13"/>
      <c r="AQ243" s="13"/>
      <c r="AR243" s="13"/>
      <c r="AS243" s="13"/>
      <c r="AT243" s="13"/>
      <c r="AU243" s="13">
        <v>36</v>
      </c>
      <c r="AV243" s="21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>
        <v>36</v>
      </c>
      <c r="BH243" s="13"/>
      <c r="BI243" s="13"/>
      <c r="BJ243" s="13"/>
      <c r="BK243" s="13"/>
      <c r="BL243" s="13"/>
      <c r="BM243" s="13">
        <f t="shared" si="42"/>
        <v>0</v>
      </c>
      <c r="BN243" s="22">
        <f t="shared" si="43"/>
        <v>36</v>
      </c>
      <c r="BO243" s="23" t="str">
        <f t="shared" si="44"/>
        <v>ok</v>
      </c>
      <c r="BP243" s="22">
        <f t="shared" si="45"/>
        <v>36</v>
      </c>
      <c r="BQ243" s="22" t="str">
        <f t="shared" si="46"/>
        <v>ok</v>
      </c>
      <c r="BR243" s="56"/>
    </row>
    <row r="244" spans="1:70" s="12" customFormat="1" ht="24.95" customHeight="1" x14ac:dyDescent="0.25">
      <c r="A244" s="4" t="s">
        <v>505</v>
      </c>
      <c r="B244" s="15" t="s">
        <v>506</v>
      </c>
      <c r="C244" s="5">
        <v>70016</v>
      </c>
      <c r="D244" s="5" t="s">
        <v>732</v>
      </c>
      <c r="E244" s="16" t="s">
        <v>964</v>
      </c>
      <c r="F244" s="16">
        <v>1</v>
      </c>
      <c r="G244" s="16">
        <v>0</v>
      </c>
      <c r="H244" s="16">
        <v>0</v>
      </c>
      <c r="I244" s="16" t="s">
        <v>14</v>
      </c>
      <c r="J244" s="17"/>
      <c r="K244" s="17"/>
      <c r="L244" s="17"/>
      <c r="M244" s="17"/>
      <c r="N244" s="17"/>
      <c r="O244" s="13"/>
      <c r="P244" s="13"/>
      <c r="Q244" s="13">
        <v>11</v>
      </c>
      <c r="R244" s="6">
        <v>8</v>
      </c>
      <c r="S244" s="7">
        <v>0.18</v>
      </c>
      <c r="T244" s="62">
        <v>45</v>
      </c>
      <c r="U244" s="16">
        <v>375.3</v>
      </c>
      <c r="V244" s="16"/>
      <c r="W244" s="16">
        <v>157.5</v>
      </c>
      <c r="X244" s="18">
        <v>157.5</v>
      </c>
      <c r="Y244" s="16">
        <f t="shared" si="47"/>
        <v>0</v>
      </c>
      <c r="Z244" s="16">
        <f t="shared" si="48"/>
        <v>375.3</v>
      </c>
      <c r="AA244" s="4">
        <v>0</v>
      </c>
      <c r="AB244" s="4">
        <v>0</v>
      </c>
      <c r="AC244" s="4">
        <v>0</v>
      </c>
      <c r="AD244" s="4">
        <v>0</v>
      </c>
      <c r="AE244" s="19">
        <v>0</v>
      </c>
      <c r="AF244" s="13">
        <f t="shared" si="49"/>
        <v>5</v>
      </c>
      <c r="AG244" s="20">
        <f t="shared" si="41"/>
        <v>46031</v>
      </c>
      <c r="AH244" s="13"/>
      <c r="AI244" s="13"/>
      <c r="AJ244" s="13"/>
      <c r="AK244" s="13"/>
      <c r="AL244" s="13"/>
      <c r="AM244" s="13"/>
      <c r="AN244" s="13"/>
      <c r="AO244" s="13"/>
      <c r="AP244" s="13"/>
      <c r="AQ244" s="13">
        <v>45</v>
      </c>
      <c r="AR244" s="13"/>
      <c r="AS244" s="13"/>
      <c r="AT244" s="13">
        <v>45</v>
      </c>
      <c r="AU244" s="13"/>
      <c r="AV244" s="21">
        <v>45</v>
      </c>
      <c r="AW244" s="13"/>
      <c r="AX244" s="13">
        <v>45</v>
      </c>
      <c r="AY244" s="13">
        <v>15.3</v>
      </c>
      <c r="AZ244" s="13">
        <v>45</v>
      </c>
      <c r="BA244" s="13"/>
      <c r="BB244" s="13"/>
      <c r="BC244" s="13"/>
      <c r="BD244" s="13"/>
      <c r="BE244" s="13">
        <v>45</v>
      </c>
      <c r="BF244" s="13"/>
      <c r="BG244" s="13"/>
      <c r="BH244" s="13"/>
      <c r="BI244" s="13"/>
      <c r="BJ244" s="13"/>
      <c r="BK244" s="13">
        <v>45</v>
      </c>
      <c r="BL244" s="13">
        <v>45</v>
      </c>
      <c r="BM244" s="13">
        <f t="shared" si="42"/>
        <v>90</v>
      </c>
      <c r="BN244" s="22">
        <f t="shared" si="43"/>
        <v>45</v>
      </c>
      <c r="BO244" s="23" t="str">
        <f t="shared" si="44"/>
        <v>ok</v>
      </c>
      <c r="BP244" s="22">
        <f t="shared" si="45"/>
        <v>157.5</v>
      </c>
      <c r="BQ244" s="22" t="str">
        <f t="shared" si="46"/>
        <v>ok</v>
      </c>
      <c r="BR244" s="56"/>
    </row>
    <row r="245" spans="1:70" s="12" customFormat="1" ht="24.95" customHeight="1" x14ac:dyDescent="0.25">
      <c r="A245" s="4" t="s">
        <v>507</v>
      </c>
      <c r="B245" s="15" t="s">
        <v>508</v>
      </c>
      <c r="C245" s="5">
        <v>70016</v>
      </c>
      <c r="D245" s="5" t="s">
        <v>732</v>
      </c>
      <c r="E245" s="16" t="s">
        <v>965</v>
      </c>
      <c r="F245" s="16">
        <v>1</v>
      </c>
      <c r="G245" s="16">
        <v>0</v>
      </c>
      <c r="H245" s="16">
        <v>0</v>
      </c>
      <c r="I245" s="16" t="s">
        <v>14</v>
      </c>
      <c r="J245" s="17"/>
      <c r="K245" s="17"/>
      <c r="L245" s="17"/>
      <c r="M245" s="17"/>
      <c r="N245" s="17"/>
      <c r="O245" s="13"/>
      <c r="P245" s="13"/>
      <c r="Q245" s="13">
        <v>25</v>
      </c>
      <c r="R245" s="6">
        <v>10</v>
      </c>
      <c r="S245" s="7">
        <v>0.15</v>
      </c>
      <c r="T245" s="62">
        <v>45</v>
      </c>
      <c r="U245" s="16">
        <v>171</v>
      </c>
      <c r="V245" s="16"/>
      <c r="W245" s="16">
        <v>162</v>
      </c>
      <c r="X245" s="18">
        <v>162</v>
      </c>
      <c r="Y245" s="16">
        <f t="shared" si="47"/>
        <v>0</v>
      </c>
      <c r="Z245" s="16">
        <f t="shared" si="48"/>
        <v>171</v>
      </c>
      <c r="AA245" s="4">
        <v>0</v>
      </c>
      <c r="AB245" s="4">
        <v>13</v>
      </c>
      <c r="AC245" s="4">
        <v>0</v>
      </c>
      <c r="AD245" s="4">
        <v>0</v>
      </c>
      <c r="AE245" s="19">
        <v>13</v>
      </c>
      <c r="AF245" s="13">
        <f t="shared" si="49"/>
        <v>5</v>
      </c>
      <c r="AG245" s="20">
        <f t="shared" si="41"/>
        <v>46034</v>
      </c>
      <c r="AH245" s="24"/>
      <c r="AI245" s="24"/>
      <c r="AJ245" s="24"/>
      <c r="AK245" s="24"/>
      <c r="AL245" s="24">
        <v>45</v>
      </c>
      <c r="AM245" s="24"/>
      <c r="AN245" s="24"/>
      <c r="AO245" s="24"/>
      <c r="AP245" s="24"/>
      <c r="AQ245" s="24"/>
      <c r="AR245" s="24"/>
      <c r="AS245" s="24">
        <v>36</v>
      </c>
      <c r="AT245" s="24"/>
      <c r="AU245" s="24"/>
      <c r="AV245" s="24"/>
      <c r="AW245" s="24"/>
      <c r="AX245" s="24"/>
      <c r="AY245" s="13"/>
      <c r="AZ245" s="13"/>
      <c r="BA245" s="13"/>
      <c r="BB245" s="13"/>
      <c r="BC245" s="13">
        <v>45</v>
      </c>
      <c r="BD245" s="13"/>
      <c r="BE245" s="13"/>
      <c r="BF245" s="13"/>
      <c r="BG245" s="13"/>
      <c r="BH245" s="13"/>
      <c r="BI245" s="13"/>
      <c r="BJ245" s="13"/>
      <c r="BK245" s="13">
        <v>45</v>
      </c>
      <c r="BL245" s="13"/>
      <c r="BM245" s="13">
        <f t="shared" si="42"/>
        <v>45</v>
      </c>
      <c r="BN245" s="22">
        <f t="shared" si="43"/>
        <v>45</v>
      </c>
      <c r="BO245" s="23" t="str">
        <f t="shared" si="44"/>
        <v>ok</v>
      </c>
      <c r="BP245" s="22">
        <f t="shared" si="45"/>
        <v>162</v>
      </c>
      <c r="BQ245" s="22" t="str">
        <f t="shared" si="46"/>
        <v>ok</v>
      </c>
      <c r="BR245" s="56"/>
    </row>
    <row r="246" spans="1:70" s="12" customFormat="1" ht="24.95" customHeight="1" x14ac:dyDescent="0.25">
      <c r="A246" s="4" t="s">
        <v>509</v>
      </c>
      <c r="B246" s="15" t="s">
        <v>510</v>
      </c>
      <c r="C246" s="5">
        <v>70016</v>
      </c>
      <c r="D246" s="5" t="s">
        <v>732</v>
      </c>
      <c r="E246" s="16" t="s">
        <v>966</v>
      </c>
      <c r="F246" s="16">
        <v>1</v>
      </c>
      <c r="G246" s="16">
        <v>0</v>
      </c>
      <c r="H246" s="16">
        <v>0</v>
      </c>
      <c r="I246" s="16" t="s">
        <v>14</v>
      </c>
      <c r="J246" s="17"/>
      <c r="K246" s="17"/>
      <c r="L246" s="17"/>
      <c r="M246" s="17"/>
      <c r="N246" s="17"/>
      <c r="O246" s="13"/>
      <c r="P246" s="13"/>
      <c r="Q246" s="13">
        <v>63</v>
      </c>
      <c r="R246" s="6">
        <v>55</v>
      </c>
      <c r="S246" s="7">
        <v>0.18</v>
      </c>
      <c r="T246" s="62">
        <v>45</v>
      </c>
      <c r="U246" s="16">
        <v>405</v>
      </c>
      <c r="V246" s="16"/>
      <c r="W246" s="16">
        <v>234</v>
      </c>
      <c r="X246" s="18">
        <v>234</v>
      </c>
      <c r="Y246" s="16">
        <f t="shared" si="47"/>
        <v>0</v>
      </c>
      <c r="Z246" s="16">
        <f t="shared" si="48"/>
        <v>405</v>
      </c>
      <c r="AA246" s="4">
        <v>45</v>
      </c>
      <c r="AB246" s="4">
        <v>45</v>
      </c>
      <c r="AC246" s="4">
        <v>0</v>
      </c>
      <c r="AD246" s="4">
        <v>0</v>
      </c>
      <c r="AE246" s="19">
        <v>90</v>
      </c>
      <c r="AF246" s="13">
        <f t="shared" si="49"/>
        <v>5</v>
      </c>
      <c r="AG246" s="20">
        <f t="shared" si="41"/>
        <v>46034</v>
      </c>
      <c r="AH246" s="24"/>
      <c r="AI246" s="24"/>
      <c r="AJ246" s="24"/>
      <c r="AK246" s="24"/>
      <c r="AL246" s="24"/>
      <c r="AM246" s="24"/>
      <c r="AN246" s="24"/>
      <c r="AO246" s="24"/>
      <c r="AP246" s="24"/>
      <c r="AQ246" s="24">
        <v>45</v>
      </c>
      <c r="AR246" s="24"/>
      <c r="AS246" s="24"/>
      <c r="AT246" s="24">
        <v>45</v>
      </c>
      <c r="AU246" s="24">
        <v>45</v>
      </c>
      <c r="AV246" s="24">
        <v>45</v>
      </c>
      <c r="AW246" s="24"/>
      <c r="AX246" s="24"/>
      <c r="AY246" s="13">
        <v>45</v>
      </c>
      <c r="AZ246" s="13">
        <v>45</v>
      </c>
      <c r="BA246" s="13"/>
      <c r="BB246" s="13"/>
      <c r="BC246" s="13"/>
      <c r="BD246" s="13"/>
      <c r="BE246" s="13">
        <v>45</v>
      </c>
      <c r="BF246" s="13"/>
      <c r="BG246" s="13"/>
      <c r="BH246" s="13"/>
      <c r="BI246" s="13"/>
      <c r="BJ246" s="13"/>
      <c r="BK246" s="13">
        <v>45</v>
      </c>
      <c r="BL246" s="13">
        <v>45</v>
      </c>
      <c r="BM246" s="13">
        <f t="shared" si="42"/>
        <v>90</v>
      </c>
      <c r="BN246" s="22">
        <f t="shared" si="43"/>
        <v>45</v>
      </c>
      <c r="BO246" s="23" t="str">
        <f t="shared" si="44"/>
        <v>ok</v>
      </c>
      <c r="BP246" s="22">
        <f t="shared" si="45"/>
        <v>234</v>
      </c>
      <c r="BQ246" s="22" t="str">
        <f t="shared" si="46"/>
        <v>ok</v>
      </c>
      <c r="BR246" s="56"/>
    </row>
    <row r="247" spans="1:70" s="12" customFormat="1" ht="24.95" customHeight="1" x14ac:dyDescent="0.25">
      <c r="A247" s="4" t="s">
        <v>511</v>
      </c>
      <c r="B247" s="15" t="s">
        <v>512</v>
      </c>
      <c r="C247" s="5">
        <v>70016</v>
      </c>
      <c r="D247" s="5" t="s">
        <v>732</v>
      </c>
      <c r="E247" s="16" t="s">
        <v>967</v>
      </c>
      <c r="F247" s="16">
        <v>1</v>
      </c>
      <c r="G247" s="16">
        <v>0</v>
      </c>
      <c r="H247" s="16">
        <v>0</v>
      </c>
      <c r="I247" s="16" t="s">
        <v>14</v>
      </c>
      <c r="J247" s="17"/>
      <c r="K247" s="17"/>
      <c r="L247" s="17"/>
      <c r="M247" s="17"/>
      <c r="N247" s="17"/>
      <c r="O247" s="13"/>
      <c r="P247" s="13"/>
      <c r="Q247" s="13">
        <v>40</v>
      </c>
      <c r="R247" s="6">
        <v>35</v>
      </c>
      <c r="S247" s="7">
        <v>0.18</v>
      </c>
      <c r="T247" s="62">
        <v>45</v>
      </c>
      <c r="U247" s="16">
        <v>260.10000000000002</v>
      </c>
      <c r="V247" s="16"/>
      <c r="W247" s="16">
        <v>105</v>
      </c>
      <c r="X247" s="18">
        <v>105</v>
      </c>
      <c r="Y247" s="16">
        <f t="shared" si="47"/>
        <v>0</v>
      </c>
      <c r="Z247" s="16">
        <f t="shared" si="48"/>
        <v>260.10000000000002</v>
      </c>
      <c r="AA247" s="4">
        <v>0</v>
      </c>
      <c r="AB247" s="4">
        <v>0</v>
      </c>
      <c r="AC247" s="4">
        <v>0</v>
      </c>
      <c r="AD247" s="4">
        <v>0</v>
      </c>
      <c r="AE247" s="19">
        <v>0</v>
      </c>
      <c r="AF247" s="13">
        <f t="shared" si="49"/>
        <v>5</v>
      </c>
      <c r="AG247" s="20">
        <f t="shared" si="41"/>
        <v>46031</v>
      </c>
      <c r="AH247" s="24"/>
      <c r="AI247" s="24">
        <v>45</v>
      </c>
      <c r="AJ247" s="24">
        <v>45</v>
      </c>
      <c r="AK247" s="24"/>
      <c r="AL247" s="24"/>
      <c r="AM247" s="24"/>
      <c r="AN247" s="24"/>
      <c r="AO247" s="24">
        <v>45</v>
      </c>
      <c r="AP247" s="24"/>
      <c r="AQ247" s="24"/>
      <c r="AR247" s="24"/>
      <c r="AS247" s="24">
        <v>45</v>
      </c>
      <c r="AT247" s="24"/>
      <c r="AU247" s="24"/>
      <c r="AV247" s="24"/>
      <c r="AW247" s="24"/>
      <c r="AX247" s="24"/>
      <c r="AY247" s="13"/>
      <c r="AZ247" s="13"/>
      <c r="BA247" s="13"/>
      <c r="BB247" s="13"/>
      <c r="BC247" s="13">
        <v>35.1</v>
      </c>
      <c r="BD247" s="13"/>
      <c r="BE247" s="13"/>
      <c r="BF247" s="13"/>
      <c r="BG247" s="13"/>
      <c r="BH247" s="13">
        <v>45</v>
      </c>
      <c r="BI247" s="13"/>
      <c r="BJ247" s="13"/>
      <c r="BK247" s="13"/>
      <c r="BL247" s="13"/>
      <c r="BM247" s="13">
        <f t="shared" si="42"/>
        <v>0</v>
      </c>
      <c r="BN247" s="22">
        <f t="shared" si="43"/>
        <v>45</v>
      </c>
      <c r="BO247" s="23" t="str">
        <f t="shared" si="44"/>
        <v>ok</v>
      </c>
      <c r="BP247" s="22">
        <f t="shared" si="45"/>
        <v>105</v>
      </c>
      <c r="BQ247" s="22" t="str">
        <f t="shared" si="46"/>
        <v>ok</v>
      </c>
      <c r="BR247" s="56"/>
    </row>
    <row r="248" spans="1:70" s="12" customFormat="1" ht="24.95" customHeight="1" x14ac:dyDescent="0.25">
      <c r="A248" s="4" t="s">
        <v>513</v>
      </c>
      <c r="B248" s="15" t="s">
        <v>514</v>
      </c>
      <c r="C248" s="5">
        <v>70016</v>
      </c>
      <c r="D248" s="5" t="s">
        <v>732</v>
      </c>
      <c r="E248" s="16" t="s">
        <v>968</v>
      </c>
      <c r="F248" s="16">
        <v>1</v>
      </c>
      <c r="G248" s="16">
        <v>0</v>
      </c>
      <c r="H248" s="16">
        <v>0</v>
      </c>
      <c r="I248" s="16" t="s">
        <v>14</v>
      </c>
      <c r="J248" s="17"/>
      <c r="K248" s="17"/>
      <c r="L248" s="17"/>
      <c r="M248" s="17"/>
      <c r="N248" s="17"/>
      <c r="O248" s="13"/>
      <c r="P248" s="13"/>
      <c r="Q248" s="13">
        <v>20</v>
      </c>
      <c r="R248" s="6">
        <v>32</v>
      </c>
      <c r="S248" s="7">
        <v>0.2</v>
      </c>
      <c r="T248" s="62">
        <v>45</v>
      </c>
      <c r="U248" s="16">
        <v>270.90000000000003</v>
      </c>
      <c r="V248" s="16"/>
      <c r="W248" s="16">
        <v>283.5</v>
      </c>
      <c r="X248" s="18">
        <v>283.5</v>
      </c>
      <c r="Y248" s="16">
        <f t="shared" si="47"/>
        <v>-0.90000000000003411</v>
      </c>
      <c r="Z248" s="16">
        <f t="shared" si="48"/>
        <v>270</v>
      </c>
      <c r="AA248" s="4">
        <v>0</v>
      </c>
      <c r="AB248" s="4">
        <v>0</v>
      </c>
      <c r="AC248" s="4">
        <v>0</v>
      </c>
      <c r="AD248" s="4">
        <v>0</v>
      </c>
      <c r="AE248" s="19">
        <v>0</v>
      </c>
      <c r="AF248" s="13">
        <f t="shared" si="49"/>
        <v>5</v>
      </c>
      <c r="AG248" s="20">
        <f t="shared" si="41"/>
        <v>46031</v>
      </c>
      <c r="AH248" s="13"/>
      <c r="AI248" s="13"/>
      <c r="AJ248" s="13"/>
      <c r="AK248" s="13"/>
      <c r="AL248" s="13">
        <v>45</v>
      </c>
      <c r="AM248" s="13">
        <v>45</v>
      </c>
      <c r="AN248" s="13">
        <v>45</v>
      </c>
      <c r="AO248" s="13"/>
      <c r="AP248" s="13"/>
      <c r="AQ248" s="13"/>
      <c r="AR248" s="13"/>
      <c r="AS248" s="13"/>
      <c r="AT248" s="13"/>
      <c r="AU248" s="13"/>
      <c r="AV248" s="21">
        <v>45</v>
      </c>
      <c r="AW248" s="13"/>
      <c r="AX248" s="13"/>
      <c r="AY248" s="13"/>
      <c r="AZ248" s="13"/>
      <c r="BA248" s="13"/>
      <c r="BB248" s="13">
        <v>45</v>
      </c>
      <c r="BC248" s="13"/>
      <c r="BD248" s="13">
        <v>45</v>
      </c>
      <c r="BE248" s="13"/>
      <c r="BF248" s="13"/>
      <c r="BG248" s="13"/>
      <c r="BH248" s="13"/>
      <c r="BI248" s="13"/>
      <c r="BJ248" s="13"/>
      <c r="BK248" s="13"/>
      <c r="BL248" s="13"/>
      <c r="BM248" s="13">
        <f t="shared" si="42"/>
        <v>0.90000000000003411</v>
      </c>
      <c r="BN248" s="22">
        <f t="shared" si="43"/>
        <v>45</v>
      </c>
      <c r="BO248" s="23" t="str">
        <f t="shared" si="44"/>
        <v>ok</v>
      </c>
      <c r="BP248" s="22">
        <f t="shared" si="45"/>
        <v>283.5</v>
      </c>
      <c r="BQ248" s="22" t="str">
        <f t="shared" si="46"/>
        <v>ok</v>
      </c>
      <c r="BR248" s="56" t="s">
        <v>28</v>
      </c>
    </row>
    <row r="249" spans="1:70" s="12" customFormat="1" ht="24.95" customHeight="1" x14ac:dyDescent="0.25">
      <c r="A249" s="4" t="s">
        <v>515</v>
      </c>
      <c r="B249" s="15" t="s">
        <v>516</v>
      </c>
      <c r="C249" s="5">
        <v>70016</v>
      </c>
      <c r="D249" s="5" t="s">
        <v>732</v>
      </c>
      <c r="E249" s="16" t="s">
        <v>969</v>
      </c>
      <c r="F249" s="16">
        <v>1</v>
      </c>
      <c r="G249" s="16">
        <v>0</v>
      </c>
      <c r="H249" s="16">
        <v>0</v>
      </c>
      <c r="I249" s="16" t="s">
        <v>14</v>
      </c>
      <c r="J249" s="17"/>
      <c r="K249" s="17"/>
      <c r="L249" s="17"/>
      <c r="M249" s="17"/>
      <c r="N249" s="17"/>
      <c r="O249" s="13"/>
      <c r="P249" s="13"/>
      <c r="Q249" s="13">
        <v>20</v>
      </c>
      <c r="R249" s="6">
        <v>17</v>
      </c>
      <c r="S249" s="7">
        <v>0.18</v>
      </c>
      <c r="T249" s="62">
        <v>33</v>
      </c>
      <c r="U249" s="16">
        <v>10.8</v>
      </c>
      <c r="V249" s="16"/>
      <c r="W249" s="16">
        <v>67.5</v>
      </c>
      <c r="X249" s="18">
        <v>67.5</v>
      </c>
      <c r="Y249" s="16">
        <f t="shared" si="47"/>
        <v>0</v>
      </c>
      <c r="Z249" s="16">
        <f t="shared" si="48"/>
        <v>10.8</v>
      </c>
      <c r="AA249" s="4">
        <v>0</v>
      </c>
      <c r="AB249" s="4">
        <v>0</v>
      </c>
      <c r="AC249" s="4">
        <v>0</v>
      </c>
      <c r="AD249" s="4">
        <v>0</v>
      </c>
      <c r="AE249" s="19">
        <v>0</v>
      </c>
      <c r="AF249" s="13">
        <f t="shared" si="49"/>
        <v>5</v>
      </c>
      <c r="AG249" s="20">
        <f t="shared" si="41"/>
        <v>46031</v>
      </c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13"/>
      <c r="AZ249" s="13"/>
      <c r="BA249" s="13"/>
      <c r="BB249" s="13"/>
      <c r="BC249" s="13"/>
      <c r="BD249" s="13"/>
      <c r="BE249" s="13"/>
      <c r="BF249" s="13">
        <v>10.8</v>
      </c>
      <c r="BG249" s="13"/>
      <c r="BH249" s="13"/>
      <c r="BI249" s="13"/>
      <c r="BJ249" s="13"/>
      <c r="BK249" s="13"/>
      <c r="BL249" s="13"/>
      <c r="BM249" s="13">
        <f t="shared" si="42"/>
        <v>0</v>
      </c>
      <c r="BN249" s="22">
        <f t="shared" si="43"/>
        <v>10.8</v>
      </c>
      <c r="BO249" s="23" t="str">
        <f t="shared" si="44"/>
        <v>ok</v>
      </c>
      <c r="BP249" s="22">
        <f t="shared" si="45"/>
        <v>67.5</v>
      </c>
      <c r="BQ249" s="22" t="str">
        <f t="shared" si="46"/>
        <v>ok</v>
      </c>
      <c r="BR249" s="56"/>
    </row>
    <row r="250" spans="1:70" s="12" customFormat="1" ht="24.95" customHeight="1" x14ac:dyDescent="0.25">
      <c r="A250" s="4" t="s">
        <v>517</v>
      </c>
      <c r="B250" s="15" t="s">
        <v>518</v>
      </c>
      <c r="C250" s="5">
        <v>70016</v>
      </c>
      <c r="D250" s="5" t="s">
        <v>732</v>
      </c>
      <c r="E250" s="16" t="s">
        <v>970</v>
      </c>
      <c r="F250" s="16">
        <v>1</v>
      </c>
      <c r="G250" s="16">
        <v>0</v>
      </c>
      <c r="H250" s="16">
        <v>0</v>
      </c>
      <c r="I250" s="16" t="s">
        <v>14</v>
      </c>
      <c r="J250" s="17"/>
      <c r="K250" s="17"/>
      <c r="L250" s="17"/>
      <c r="M250" s="17"/>
      <c r="N250" s="17"/>
      <c r="O250" s="13"/>
      <c r="P250" s="13"/>
      <c r="Q250" s="13">
        <v>33</v>
      </c>
      <c r="R250" s="6">
        <v>29</v>
      </c>
      <c r="S250" s="7">
        <v>0.18</v>
      </c>
      <c r="T250" s="62">
        <v>33</v>
      </c>
      <c r="U250" s="16">
        <v>93.600000000000009</v>
      </c>
      <c r="V250" s="16"/>
      <c r="W250" s="16">
        <v>144</v>
      </c>
      <c r="X250" s="18">
        <v>144</v>
      </c>
      <c r="Y250" s="16">
        <f t="shared" si="47"/>
        <v>0</v>
      </c>
      <c r="Z250" s="16">
        <f t="shared" si="48"/>
        <v>93.6</v>
      </c>
      <c r="AA250" s="4">
        <v>0</v>
      </c>
      <c r="AB250" s="4">
        <v>0</v>
      </c>
      <c r="AC250" s="4">
        <v>0</v>
      </c>
      <c r="AD250" s="4">
        <v>0</v>
      </c>
      <c r="AE250" s="19">
        <v>0</v>
      </c>
      <c r="AF250" s="13">
        <f t="shared" si="49"/>
        <v>5</v>
      </c>
      <c r="AG250" s="20">
        <f t="shared" si="41"/>
        <v>46031</v>
      </c>
      <c r="AH250" s="13"/>
      <c r="AI250" s="13"/>
      <c r="AJ250" s="13"/>
      <c r="AK250" s="13"/>
      <c r="AL250" s="13"/>
      <c r="AM250" s="13"/>
      <c r="AN250" s="13"/>
      <c r="AO250" s="13">
        <v>27.6</v>
      </c>
      <c r="AP250" s="13"/>
      <c r="AQ250" s="13"/>
      <c r="AR250" s="13"/>
      <c r="AS250" s="13"/>
      <c r="AT250" s="13">
        <v>33</v>
      </c>
      <c r="AU250" s="13"/>
      <c r="AV250" s="21"/>
      <c r="AW250" s="13"/>
      <c r="AX250" s="13">
        <v>33</v>
      </c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>
        <f t="shared" si="42"/>
        <v>1.4210854715202004E-14</v>
      </c>
      <c r="BN250" s="22">
        <f t="shared" si="43"/>
        <v>33</v>
      </c>
      <c r="BO250" s="23" t="str">
        <f t="shared" si="44"/>
        <v>ok</v>
      </c>
      <c r="BP250" s="22">
        <f t="shared" si="45"/>
        <v>144</v>
      </c>
      <c r="BQ250" s="22" t="str">
        <f t="shared" si="46"/>
        <v>ok</v>
      </c>
      <c r="BR250" s="56"/>
    </row>
    <row r="251" spans="1:70" s="12" customFormat="1" ht="24.95" customHeight="1" x14ac:dyDescent="0.25">
      <c r="A251" s="4" t="s">
        <v>519</v>
      </c>
      <c r="B251" s="15" t="s">
        <v>520</v>
      </c>
      <c r="C251" s="5">
        <v>70016</v>
      </c>
      <c r="D251" s="5" t="s">
        <v>732</v>
      </c>
      <c r="E251" s="16" t="s">
        <v>971</v>
      </c>
      <c r="F251" s="16">
        <v>1</v>
      </c>
      <c r="G251" s="16">
        <v>0</v>
      </c>
      <c r="H251" s="16">
        <v>0</v>
      </c>
      <c r="I251" s="16" t="s">
        <v>14</v>
      </c>
      <c r="J251" s="17"/>
      <c r="K251" s="17"/>
      <c r="L251" s="17"/>
      <c r="M251" s="17"/>
      <c r="N251" s="17"/>
      <c r="O251" s="13"/>
      <c r="P251" s="13"/>
      <c r="Q251" s="13">
        <v>68</v>
      </c>
      <c r="R251" s="6">
        <v>11</v>
      </c>
      <c r="S251" s="7">
        <v>0.2</v>
      </c>
      <c r="T251" s="62">
        <v>45</v>
      </c>
      <c r="U251" s="16">
        <v>275.40000000000003</v>
      </c>
      <c r="V251" s="16"/>
      <c r="W251" s="16">
        <v>216</v>
      </c>
      <c r="X251" s="18">
        <v>216</v>
      </c>
      <c r="Y251" s="16">
        <f t="shared" si="47"/>
        <v>-5.4000000000000341</v>
      </c>
      <c r="Z251" s="16">
        <f t="shared" si="48"/>
        <v>270</v>
      </c>
      <c r="AA251" s="4">
        <v>0</v>
      </c>
      <c r="AB251" s="4">
        <v>0</v>
      </c>
      <c r="AC251" s="4">
        <v>0</v>
      </c>
      <c r="AD251" s="4">
        <v>0</v>
      </c>
      <c r="AE251" s="19">
        <v>0</v>
      </c>
      <c r="AF251" s="13">
        <f t="shared" si="49"/>
        <v>5</v>
      </c>
      <c r="AG251" s="20">
        <f t="shared" si="41"/>
        <v>46031</v>
      </c>
      <c r="AH251" s="13"/>
      <c r="AI251" s="13"/>
      <c r="AJ251" s="13"/>
      <c r="AK251" s="13">
        <v>45</v>
      </c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>
        <v>45</v>
      </c>
      <c r="AX251" s="13">
        <v>45</v>
      </c>
      <c r="AY251" s="13">
        <v>45</v>
      </c>
      <c r="AZ251" s="13"/>
      <c r="BA251" s="13"/>
      <c r="BB251" s="13"/>
      <c r="BC251" s="13"/>
      <c r="BD251" s="13"/>
      <c r="BE251" s="13"/>
      <c r="BF251" s="13"/>
      <c r="BG251" s="13">
        <v>45</v>
      </c>
      <c r="BH251" s="13"/>
      <c r="BI251" s="13">
        <v>45</v>
      </c>
      <c r="BJ251" s="13"/>
      <c r="BK251" s="13"/>
      <c r="BL251" s="13"/>
      <c r="BM251" s="13">
        <f t="shared" si="42"/>
        <v>5.4000000000000341</v>
      </c>
      <c r="BN251" s="22">
        <f t="shared" si="43"/>
        <v>45</v>
      </c>
      <c r="BO251" s="23" t="str">
        <f t="shared" si="44"/>
        <v>ok</v>
      </c>
      <c r="BP251" s="22">
        <f t="shared" si="45"/>
        <v>216</v>
      </c>
      <c r="BQ251" s="22" t="str">
        <f t="shared" si="46"/>
        <v>ok</v>
      </c>
      <c r="BR251" s="56" t="s">
        <v>28</v>
      </c>
    </row>
    <row r="252" spans="1:70" s="12" customFormat="1" ht="24.95" customHeight="1" x14ac:dyDescent="0.25">
      <c r="A252" s="4" t="s">
        <v>521</v>
      </c>
      <c r="B252" s="15" t="s">
        <v>522</v>
      </c>
      <c r="C252" s="5">
        <v>70016</v>
      </c>
      <c r="D252" s="5" t="s">
        <v>732</v>
      </c>
      <c r="E252" s="16" t="s">
        <v>972</v>
      </c>
      <c r="F252" s="16">
        <v>1</v>
      </c>
      <c r="G252" s="16">
        <v>1</v>
      </c>
      <c r="H252" s="16" t="s">
        <v>26</v>
      </c>
      <c r="I252" s="16" t="s">
        <v>14</v>
      </c>
      <c r="J252" s="17"/>
      <c r="K252" s="17"/>
      <c r="L252" s="17"/>
      <c r="M252" s="17"/>
      <c r="N252" s="17"/>
      <c r="O252" s="13"/>
      <c r="P252" s="13"/>
      <c r="Q252" s="13">
        <v>15</v>
      </c>
      <c r="R252" s="6">
        <v>9</v>
      </c>
      <c r="S252" s="7">
        <v>0.2</v>
      </c>
      <c r="T252" s="62">
        <v>45</v>
      </c>
      <c r="U252" s="16">
        <v>41.4</v>
      </c>
      <c r="V252" s="16"/>
      <c r="W252" s="16">
        <v>150</v>
      </c>
      <c r="X252" s="18">
        <v>150</v>
      </c>
      <c r="Y252" s="16">
        <f t="shared" si="47"/>
        <v>0</v>
      </c>
      <c r="Z252" s="16">
        <f t="shared" si="48"/>
        <v>41.4</v>
      </c>
      <c r="AA252" s="4">
        <v>0</v>
      </c>
      <c r="AB252" s="4">
        <v>0</v>
      </c>
      <c r="AC252" s="4">
        <v>0</v>
      </c>
      <c r="AD252" s="4">
        <v>0</v>
      </c>
      <c r="AE252" s="19">
        <v>0</v>
      </c>
      <c r="AF252" s="13">
        <f t="shared" si="49"/>
        <v>5</v>
      </c>
      <c r="AG252" s="20">
        <f t="shared" si="41"/>
        <v>46031</v>
      </c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>
        <v>41.4</v>
      </c>
      <c r="AU252" s="13"/>
      <c r="AV252" s="21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>
        <f t="shared" si="42"/>
        <v>0</v>
      </c>
      <c r="BN252" s="22">
        <f t="shared" si="43"/>
        <v>41.4</v>
      </c>
      <c r="BO252" s="23" t="str">
        <f t="shared" si="44"/>
        <v>ok</v>
      </c>
      <c r="BP252" s="22">
        <f t="shared" si="45"/>
        <v>150</v>
      </c>
      <c r="BQ252" s="22" t="str">
        <f t="shared" si="46"/>
        <v>ok</v>
      </c>
      <c r="BR252" s="56"/>
    </row>
    <row r="253" spans="1:70" s="12" customFormat="1" ht="24.95" customHeight="1" x14ac:dyDescent="0.25">
      <c r="A253" s="4" t="s">
        <v>523</v>
      </c>
      <c r="B253" s="15" t="s">
        <v>524</v>
      </c>
      <c r="C253" s="5">
        <v>70016</v>
      </c>
      <c r="D253" s="5" t="s">
        <v>732</v>
      </c>
      <c r="E253" s="16" t="s">
        <v>973</v>
      </c>
      <c r="F253" s="16">
        <v>1</v>
      </c>
      <c r="G253" s="16">
        <v>0</v>
      </c>
      <c r="H253" s="16">
        <v>0</v>
      </c>
      <c r="I253" s="16" t="s">
        <v>14</v>
      </c>
      <c r="J253" s="17"/>
      <c r="K253" s="17"/>
      <c r="L253" s="17"/>
      <c r="M253" s="17"/>
      <c r="N253" s="17"/>
      <c r="O253" s="13"/>
      <c r="P253" s="13"/>
      <c r="Q253" s="13">
        <v>11</v>
      </c>
      <c r="R253" s="6">
        <v>11</v>
      </c>
      <c r="S253" s="7">
        <v>0.08</v>
      </c>
      <c r="T253" s="62">
        <v>33</v>
      </c>
      <c r="U253" s="16">
        <v>10.8</v>
      </c>
      <c r="V253" s="16"/>
      <c r="W253" s="16">
        <v>52.5</v>
      </c>
      <c r="X253" s="18">
        <v>52.5</v>
      </c>
      <c r="Y253" s="16">
        <f t="shared" si="47"/>
        <v>0</v>
      </c>
      <c r="Z253" s="16">
        <f t="shared" si="48"/>
        <v>10.8</v>
      </c>
      <c r="AA253" s="4">
        <v>0</v>
      </c>
      <c r="AB253" s="4">
        <v>0</v>
      </c>
      <c r="AC253" s="4">
        <v>0</v>
      </c>
      <c r="AD253" s="4">
        <v>0</v>
      </c>
      <c r="AE253" s="19">
        <v>0</v>
      </c>
      <c r="AF253" s="13">
        <f t="shared" si="49"/>
        <v>5</v>
      </c>
      <c r="AG253" s="20">
        <f t="shared" si="41"/>
        <v>46031</v>
      </c>
      <c r="AH253" s="13"/>
      <c r="AI253" s="13"/>
      <c r="AJ253" s="13"/>
      <c r="AK253" s="13"/>
      <c r="AL253" s="13"/>
      <c r="AM253" s="13"/>
      <c r="AN253" s="13"/>
      <c r="AO253" s="13"/>
      <c r="AP253" s="13">
        <v>10.8</v>
      </c>
      <c r="AQ253" s="13"/>
      <c r="AR253" s="13"/>
      <c r="AS253" s="13"/>
      <c r="AT253" s="13"/>
      <c r="AU253" s="13"/>
      <c r="AV253" s="21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>
        <f t="shared" si="42"/>
        <v>0</v>
      </c>
      <c r="BN253" s="22">
        <f t="shared" si="43"/>
        <v>10.8</v>
      </c>
      <c r="BO253" s="23" t="str">
        <f t="shared" si="44"/>
        <v>ok</v>
      </c>
      <c r="BP253" s="22">
        <f t="shared" si="45"/>
        <v>52.5</v>
      </c>
      <c r="BQ253" s="22" t="str">
        <f t="shared" si="46"/>
        <v>ok</v>
      </c>
      <c r="BR253" s="56"/>
    </row>
    <row r="254" spans="1:70" s="12" customFormat="1" ht="24.95" customHeight="1" x14ac:dyDescent="0.25">
      <c r="A254" s="4" t="s">
        <v>525</v>
      </c>
      <c r="B254" s="15" t="s">
        <v>526</v>
      </c>
      <c r="C254" s="5">
        <v>70016</v>
      </c>
      <c r="D254" s="5" t="s">
        <v>732</v>
      </c>
      <c r="E254" s="16" t="s">
        <v>974</v>
      </c>
      <c r="F254" s="16">
        <v>1</v>
      </c>
      <c r="G254" s="16">
        <v>0</v>
      </c>
      <c r="H254" s="16" t="s">
        <v>26</v>
      </c>
      <c r="I254" s="16" t="s">
        <v>14</v>
      </c>
      <c r="J254" s="17"/>
      <c r="K254" s="17"/>
      <c r="L254" s="17"/>
      <c r="M254" s="17"/>
      <c r="N254" s="17"/>
      <c r="O254" s="13"/>
      <c r="P254" s="13"/>
      <c r="Q254" s="13">
        <v>24</v>
      </c>
      <c r="R254" s="6">
        <v>32</v>
      </c>
      <c r="S254" s="7">
        <v>0.15</v>
      </c>
      <c r="T254" s="62">
        <v>33</v>
      </c>
      <c r="U254" s="16">
        <v>66.600000000000009</v>
      </c>
      <c r="V254" s="16"/>
      <c r="W254" s="16">
        <v>150</v>
      </c>
      <c r="X254" s="18">
        <v>150</v>
      </c>
      <c r="Y254" s="16">
        <f t="shared" si="47"/>
        <v>-0.60000000000000853</v>
      </c>
      <c r="Z254" s="16">
        <f t="shared" si="48"/>
        <v>66</v>
      </c>
      <c r="AA254" s="4">
        <v>0</v>
      </c>
      <c r="AB254" s="4">
        <v>0</v>
      </c>
      <c r="AC254" s="4">
        <v>0</v>
      </c>
      <c r="AD254" s="4">
        <v>0</v>
      </c>
      <c r="AE254" s="19">
        <v>0</v>
      </c>
      <c r="AF254" s="13">
        <f t="shared" si="49"/>
        <v>5</v>
      </c>
      <c r="AG254" s="20">
        <f t="shared" si="41"/>
        <v>46031</v>
      </c>
      <c r="AH254" s="24"/>
      <c r="AI254" s="24">
        <v>33</v>
      </c>
      <c r="AJ254" s="24"/>
      <c r="AK254" s="24"/>
      <c r="AL254" s="24"/>
      <c r="AM254" s="24"/>
      <c r="AN254" s="24"/>
      <c r="AO254" s="24"/>
      <c r="AP254" s="24"/>
      <c r="AQ254" s="24"/>
      <c r="AR254" s="24"/>
      <c r="AS254" s="24"/>
      <c r="AT254" s="24"/>
      <c r="AU254" s="24"/>
      <c r="AV254" s="24"/>
      <c r="AW254" s="24"/>
      <c r="AX254" s="24"/>
      <c r="AY254" s="13"/>
      <c r="AZ254" s="13"/>
      <c r="BA254" s="13"/>
      <c r="BB254" s="13"/>
      <c r="BC254" s="13">
        <v>33</v>
      </c>
      <c r="BD254" s="13"/>
      <c r="BE254" s="13"/>
      <c r="BF254" s="13"/>
      <c r="BG254" s="13"/>
      <c r="BH254" s="13"/>
      <c r="BI254" s="13"/>
      <c r="BJ254" s="13"/>
      <c r="BK254" s="13"/>
      <c r="BL254" s="13"/>
      <c r="BM254" s="13">
        <f t="shared" si="42"/>
        <v>0.60000000000000853</v>
      </c>
      <c r="BN254" s="22">
        <f t="shared" si="43"/>
        <v>33</v>
      </c>
      <c r="BO254" s="23" t="str">
        <f t="shared" si="44"/>
        <v>ok</v>
      </c>
      <c r="BP254" s="22">
        <f t="shared" si="45"/>
        <v>150</v>
      </c>
      <c r="BQ254" s="22" t="str">
        <f t="shared" si="46"/>
        <v>ok</v>
      </c>
      <c r="BR254" s="56" t="s">
        <v>28</v>
      </c>
    </row>
    <row r="255" spans="1:70" s="12" customFormat="1" ht="24.95" customHeight="1" x14ac:dyDescent="0.25">
      <c r="A255" s="4" t="s">
        <v>527</v>
      </c>
      <c r="B255" s="15" t="s">
        <v>528</v>
      </c>
      <c r="C255" s="5">
        <v>70016</v>
      </c>
      <c r="D255" s="5" t="s">
        <v>732</v>
      </c>
      <c r="E255" s="16" t="s">
        <v>975</v>
      </c>
      <c r="F255" s="16">
        <v>1</v>
      </c>
      <c r="G255" s="16">
        <v>0</v>
      </c>
      <c r="H255" s="16">
        <v>0</v>
      </c>
      <c r="I255" s="16" t="s">
        <v>14</v>
      </c>
      <c r="J255" s="17"/>
      <c r="K255" s="17"/>
      <c r="L255" s="17"/>
      <c r="M255" s="17"/>
      <c r="N255" s="17"/>
      <c r="O255" s="13"/>
      <c r="P255" s="13"/>
      <c r="Q255" s="13">
        <v>32</v>
      </c>
      <c r="R255" s="6">
        <v>28</v>
      </c>
      <c r="S255" s="7">
        <v>0.18</v>
      </c>
      <c r="T255" s="62">
        <v>33</v>
      </c>
      <c r="U255" s="16">
        <v>85.5</v>
      </c>
      <c r="V255" s="16"/>
      <c r="W255" s="16">
        <v>81</v>
      </c>
      <c r="X255" s="18">
        <v>81</v>
      </c>
      <c r="Y255" s="16">
        <f t="shared" si="47"/>
        <v>0</v>
      </c>
      <c r="Z255" s="16">
        <f t="shared" si="48"/>
        <v>85.5</v>
      </c>
      <c r="AA255" s="4">
        <v>0</v>
      </c>
      <c r="AB255" s="4">
        <v>0</v>
      </c>
      <c r="AC255" s="4">
        <v>0</v>
      </c>
      <c r="AD255" s="4">
        <v>0</v>
      </c>
      <c r="AE255" s="19">
        <v>0</v>
      </c>
      <c r="AF255" s="13">
        <f t="shared" si="49"/>
        <v>5</v>
      </c>
      <c r="AG255" s="20">
        <f t="shared" si="41"/>
        <v>46031</v>
      </c>
      <c r="AH255" s="13"/>
      <c r="AI255" s="13">
        <v>19.5</v>
      </c>
      <c r="AJ255" s="13"/>
      <c r="AK255" s="13"/>
      <c r="AL255" s="13"/>
      <c r="AM255" s="13"/>
      <c r="AN255" s="13">
        <v>33</v>
      </c>
      <c r="AO255" s="13"/>
      <c r="AP255" s="13"/>
      <c r="AQ255" s="13"/>
      <c r="AR255" s="13"/>
      <c r="AS255" s="13"/>
      <c r="AT255" s="13"/>
      <c r="AU255" s="13"/>
      <c r="AV255" s="21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>
        <v>33</v>
      </c>
      <c r="BL255" s="13"/>
      <c r="BM255" s="13">
        <f t="shared" si="42"/>
        <v>33</v>
      </c>
      <c r="BN255" s="22">
        <f t="shared" si="43"/>
        <v>33</v>
      </c>
      <c r="BO255" s="23" t="str">
        <f t="shared" si="44"/>
        <v>ok</v>
      </c>
      <c r="BP255" s="22">
        <f t="shared" si="45"/>
        <v>81</v>
      </c>
      <c r="BQ255" s="22" t="str">
        <f t="shared" si="46"/>
        <v>ok</v>
      </c>
      <c r="BR255" s="56"/>
    </row>
    <row r="256" spans="1:70" s="12" customFormat="1" ht="24.95" customHeight="1" x14ac:dyDescent="0.25">
      <c r="A256" s="4" t="s">
        <v>529</v>
      </c>
      <c r="B256" s="15" t="s">
        <v>530</v>
      </c>
      <c r="C256" s="5">
        <v>70016</v>
      </c>
      <c r="D256" s="5" t="s">
        <v>732</v>
      </c>
      <c r="E256" s="16" t="s">
        <v>976</v>
      </c>
      <c r="F256" s="16">
        <v>1</v>
      </c>
      <c r="G256" s="16">
        <v>0</v>
      </c>
      <c r="H256" s="16">
        <v>0</v>
      </c>
      <c r="I256" s="16" t="s">
        <v>14</v>
      </c>
      <c r="J256" s="17"/>
      <c r="K256" s="17"/>
      <c r="L256" s="17"/>
      <c r="M256" s="17"/>
      <c r="N256" s="17"/>
      <c r="O256" s="13"/>
      <c r="P256" s="13"/>
      <c r="Q256" s="13">
        <v>112</v>
      </c>
      <c r="R256" s="6">
        <v>97</v>
      </c>
      <c r="S256" s="7">
        <v>0.18</v>
      </c>
      <c r="T256" s="62">
        <v>33</v>
      </c>
      <c r="U256" s="16">
        <v>21.6</v>
      </c>
      <c r="V256" s="16"/>
      <c r="W256" s="16">
        <v>82.5</v>
      </c>
      <c r="X256" s="18">
        <v>82.5</v>
      </c>
      <c r="Y256" s="16">
        <f t="shared" si="47"/>
        <v>0</v>
      </c>
      <c r="Z256" s="16">
        <f t="shared" si="48"/>
        <v>21.6</v>
      </c>
      <c r="AA256" s="4">
        <v>0</v>
      </c>
      <c r="AB256" s="4">
        <v>0</v>
      </c>
      <c r="AC256" s="4">
        <v>0</v>
      </c>
      <c r="AD256" s="4">
        <v>0</v>
      </c>
      <c r="AE256" s="19">
        <v>0</v>
      </c>
      <c r="AF256" s="13">
        <f t="shared" si="49"/>
        <v>5</v>
      </c>
      <c r="AG256" s="20">
        <f t="shared" si="41"/>
        <v>46031</v>
      </c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  <c r="AR256" s="24">
        <v>21.6</v>
      </c>
      <c r="AS256" s="24"/>
      <c r="AT256" s="24"/>
      <c r="AU256" s="24"/>
      <c r="AV256" s="24"/>
      <c r="AW256" s="24"/>
      <c r="AX256" s="24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>
        <f t="shared" si="42"/>
        <v>0</v>
      </c>
      <c r="BN256" s="22">
        <f t="shared" si="43"/>
        <v>21.6</v>
      </c>
      <c r="BO256" s="23" t="str">
        <f t="shared" si="44"/>
        <v>ok</v>
      </c>
      <c r="BP256" s="22">
        <f t="shared" si="45"/>
        <v>82.5</v>
      </c>
      <c r="BQ256" s="22" t="str">
        <f t="shared" si="46"/>
        <v>ok</v>
      </c>
      <c r="BR256" s="56"/>
    </row>
    <row r="257" spans="1:70" s="12" customFormat="1" ht="24.95" customHeight="1" x14ac:dyDescent="0.25">
      <c r="A257" s="4" t="s">
        <v>531</v>
      </c>
      <c r="B257" s="15" t="s">
        <v>532</v>
      </c>
      <c r="C257" s="5">
        <v>70017</v>
      </c>
      <c r="D257" s="5" t="s">
        <v>733</v>
      </c>
      <c r="E257" s="16" t="s">
        <v>977</v>
      </c>
      <c r="F257" s="16">
        <v>1</v>
      </c>
      <c r="G257" s="16">
        <v>0</v>
      </c>
      <c r="H257" s="16">
        <v>0</v>
      </c>
      <c r="I257" s="16" t="s">
        <v>15</v>
      </c>
      <c r="J257" s="17"/>
      <c r="K257" s="17"/>
      <c r="L257" s="17"/>
      <c r="M257" s="17"/>
      <c r="N257" s="17"/>
      <c r="O257" s="13"/>
      <c r="P257" s="13"/>
      <c r="Q257" s="13">
        <v>51</v>
      </c>
      <c r="R257" s="6">
        <v>77</v>
      </c>
      <c r="S257" s="7">
        <v>0.08</v>
      </c>
      <c r="T257" s="62">
        <v>33</v>
      </c>
      <c r="U257" s="16">
        <v>11.700000000000001</v>
      </c>
      <c r="V257" s="16"/>
      <c r="W257" s="16">
        <v>42</v>
      </c>
      <c r="X257" s="18">
        <v>42</v>
      </c>
      <c r="Y257" s="16">
        <f t="shared" si="47"/>
        <v>0</v>
      </c>
      <c r="Z257" s="16">
        <f t="shared" si="48"/>
        <v>11.7</v>
      </c>
      <c r="AA257" s="4">
        <v>0</v>
      </c>
      <c r="AB257" s="4">
        <v>0</v>
      </c>
      <c r="AC257" s="4">
        <v>0</v>
      </c>
      <c r="AD257" s="4">
        <v>0</v>
      </c>
      <c r="AE257" s="19">
        <v>0</v>
      </c>
      <c r="AF257" s="13">
        <f t="shared" si="49"/>
        <v>4</v>
      </c>
      <c r="AG257" s="20">
        <f t="shared" si="41"/>
        <v>46031</v>
      </c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21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>
        <v>11.7</v>
      </c>
      <c r="BM257" s="13">
        <f t="shared" si="42"/>
        <v>11.700000000000001</v>
      </c>
      <c r="BN257" s="22">
        <f t="shared" si="43"/>
        <v>0</v>
      </c>
      <c r="BO257" s="23" t="str">
        <f t="shared" si="44"/>
        <v>ok</v>
      </c>
      <c r="BP257" s="22">
        <f t="shared" si="45"/>
        <v>42</v>
      </c>
      <c r="BQ257" s="22" t="str">
        <f t="shared" si="46"/>
        <v>ok</v>
      </c>
      <c r="BR257" s="56"/>
    </row>
    <row r="258" spans="1:70" s="12" customFormat="1" ht="24.95" customHeight="1" x14ac:dyDescent="0.25">
      <c r="A258" s="4" t="s">
        <v>533</v>
      </c>
      <c r="B258" s="15" t="s">
        <v>534</v>
      </c>
      <c r="C258" s="5">
        <v>70017</v>
      </c>
      <c r="D258" s="5" t="s">
        <v>733</v>
      </c>
      <c r="E258" s="16" t="s">
        <v>978</v>
      </c>
      <c r="F258" s="16">
        <v>1</v>
      </c>
      <c r="G258" s="16">
        <v>0</v>
      </c>
      <c r="H258" s="16">
        <v>0</v>
      </c>
      <c r="I258" s="16" t="s">
        <v>15</v>
      </c>
      <c r="J258" s="17"/>
      <c r="K258" s="17"/>
      <c r="L258" s="17"/>
      <c r="M258" s="17"/>
      <c r="N258" s="17"/>
      <c r="O258" s="13"/>
      <c r="P258" s="13"/>
      <c r="Q258" s="13">
        <v>11</v>
      </c>
      <c r="R258" s="6">
        <v>8</v>
      </c>
      <c r="S258" s="7">
        <v>0.08</v>
      </c>
      <c r="T258" s="62">
        <v>33</v>
      </c>
      <c r="U258" s="16">
        <v>14.4</v>
      </c>
      <c r="V258" s="16"/>
      <c r="W258" s="16">
        <v>130.5</v>
      </c>
      <c r="X258" s="18">
        <v>130.5</v>
      </c>
      <c r="Y258" s="16">
        <f t="shared" si="47"/>
        <v>0</v>
      </c>
      <c r="Z258" s="16">
        <f t="shared" si="48"/>
        <v>14.4</v>
      </c>
      <c r="AA258" s="4">
        <v>0</v>
      </c>
      <c r="AB258" s="4">
        <v>0</v>
      </c>
      <c r="AC258" s="4">
        <v>0</v>
      </c>
      <c r="AD258" s="4">
        <v>0</v>
      </c>
      <c r="AE258" s="19">
        <v>0</v>
      </c>
      <c r="AF258" s="13">
        <f t="shared" si="49"/>
        <v>4</v>
      </c>
      <c r="AG258" s="20">
        <f t="shared" si="41"/>
        <v>46031</v>
      </c>
      <c r="AH258" s="13"/>
      <c r="AI258" s="13"/>
      <c r="AJ258" s="13"/>
      <c r="AK258" s="13"/>
      <c r="AL258" s="13"/>
      <c r="AM258" s="13">
        <v>14.4</v>
      </c>
      <c r="AN258" s="13"/>
      <c r="AO258" s="13"/>
      <c r="AP258" s="13"/>
      <c r="AQ258" s="13"/>
      <c r="AR258" s="13"/>
      <c r="AS258" s="13"/>
      <c r="AT258" s="13"/>
      <c r="AU258" s="13"/>
      <c r="AV258" s="21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>
        <f t="shared" si="42"/>
        <v>0</v>
      </c>
      <c r="BN258" s="22">
        <f t="shared" si="43"/>
        <v>14.4</v>
      </c>
      <c r="BO258" s="23" t="str">
        <f t="shared" si="44"/>
        <v>ok</v>
      </c>
      <c r="BP258" s="22">
        <f t="shared" si="45"/>
        <v>130.5</v>
      </c>
      <c r="BQ258" s="22" t="str">
        <f t="shared" si="46"/>
        <v>ok</v>
      </c>
      <c r="BR258" s="56"/>
    </row>
    <row r="259" spans="1:70" s="12" customFormat="1" ht="24.95" customHeight="1" x14ac:dyDescent="0.25">
      <c r="A259" s="4" t="s">
        <v>535</v>
      </c>
      <c r="B259" s="15" t="s">
        <v>536</v>
      </c>
      <c r="C259" s="5">
        <v>70017</v>
      </c>
      <c r="D259" s="5" t="s">
        <v>733</v>
      </c>
      <c r="E259" s="16" t="s">
        <v>979</v>
      </c>
      <c r="F259" s="16">
        <v>1</v>
      </c>
      <c r="G259" s="16">
        <v>0</v>
      </c>
      <c r="H259" s="16">
        <v>0</v>
      </c>
      <c r="I259" s="16" t="s">
        <v>15</v>
      </c>
      <c r="J259" s="17"/>
      <c r="K259" s="17"/>
      <c r="L259" s="17"/>
      <c r="M259" s="17"/>
      <c r="N259" s="17"/>
      <c r="O259" s="13"/>
      <c r="P259" s="13"/>
      <c r="Q259" s="13">
        <v>11</v>
      </c>
      <c r="R259" s="6">
        <v>8</v>
      </c>
      <c r="S259" s="7">
        <v>0.18</v>
      </c>
      <c r="T259" s="62">
        <v>33</v>
      </c>
      <c r="U259" s="16">
        <v>24.3</v>
      </c>
      <c r="V259" s="16"/>
      <c r="W259" s="16">
        <v>87</v>
      </c>
      <c r="X259" s="18">
        <v>87</v>
      </c>
      <c r="Y259" s="16">
        <f t="shared" si="47"/>
        <v>0</v>
      </c>
      <c r="Z259" s="16">
        <f t="shared" si="48"/>
        <v>24.3</v>
      </c>
      <c r="AA259" s="4">
        <v>0</v>
      </c>
      <c r="AB259" s="4">
        <v>0</v>
      </c>
      <c r="AC259" s="4">
        <v>0</v>
      </c>
      <c r="AD259" s="4">
        <v>0</v>
      </c>
      <c r="AE259" s="19">
        <v>0</v>
      </c>
      <c r="AF259" s="13">
        <f t="shared" si="49"/>
        <v>4</v>
      </c>
      <c r="AG259" s="20">
        <f t="shared" si="41"/>
        <v>46031</v>
      </c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21"/>
      <c r="AW259" s="13"/>
      <c r="AX259" s="13"/>
      <c r="AY259" s="13"/>
      <c r="AZ259" s="13"/>
      <c r="BA259" s="13">
        <v>24.3</v>
      </c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>
        <f t="shared" si="42"/>
        <v>0</v>
      </c>
      <c r="BN259" s="22">
        <f t="shared" si="43"/>
        <v>24.3</v>
      </c>
      <c r="BO259" s="23" t="str">
        <f t="shared" si="44"/>
        <v>ok</v>
      </c>
      <c r="BP259" s="22">
        <f t="shared" si="45"/>
        <v>87</v>
      </c>
      <c r="BQ259" s="22" t="str">
        <f t="shared" si="46"/>
        <v>ok</v>
      </c>
      <c r="BR259" s="56"/>
    </row>
    <row r="260" spans="1:70" s="12" customFormat="1" ht="24.95" customHeight="1" x14ac:dyDescent="0.25">
      <c r="A260" s="4" t="s">
        <v>537</v>
      </c>
      <c r="B260" s="15" t="s">
        <v>538</v>
      </c>
      <c r="C260" s="5">
        <v>70017</v>
      </c>
      <c r="D260" s="5" t="s">
        <v>733</v>
      </c>
      <c r="E260" s="16" t="s">
        <v>980</v>
      </c>
      <c r="F260" s="16">
        <v>1</v>
      </c>
      <c r="G260" s="16">
        <v>0</v>
      </c>
      <c r="H260" s="16">
        <v>0</v>
      </c>
      <c r="I260" s="16" t="s">
        <v>15</v>
      </c>
      <c r="J260" s="17"/>
      <c r="K260" s="17"/>
      <c r="L260" s="17"/>
      <c r="M260" s="17"/>
      <c r="N260" s="17"/>
      <c r="O260" s="13"/>
      <c r="P260" s="13"/>
      <c r="Q260" s="13">
        <v>15</v>
      </c>
      <c r="R260" s="13">
        <v>14</v>
      </c>
      <c r="S260" s="7">
        <v>0.08</v>
      </c>
      <c r="T260" s="62">
        <v>33</v>
      </c>
      <c r="U260" s="16">
        <v>12.6</v>
      </c>
      <c r="V260" s="16"/>
      <c r="W260" s="16">
        <v>169.5</v>
      </c>
      <c r="X260" s="18">
        <v>169.5</v>
      </c>
      <c r="Y260" s="16">
        <f t="shared" si="47"/>
        <v>0</v>
      </c>
      <c r="Z260" s="16">
        <f t="shared" si="48"/>
        <v>12.6</v>
      </c>
      <c r="AA260" s="4">
        <v>0</v>
      </c>
      <c r="AB260" s="4">
        <v>0</v>
      </c>
      <c r="AC260" s="4">
        <v>0</v>
      </c>
      <c r="AD260" s="4">
        <v>0</v>
      </c>
      <c r="AE260" s="19">
        <v>0</v>
      </c>
      <c r="AF260" s="13">
        <f t="shared" si="49"/>
        <v>4</v>
      </c>
      <c r="AG260" s="20">
        <f t="shared" si="41"/>
        <v>46031</v>
      </c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21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>
        <v>12.6</v>
      </c>
      <c r="BK260" s="13"/>
      <c r="BL260" s="13"/>
      <c r="BM260" s="13">
        <f t="shared" si="42"/>
        <v>0</v>
      </c>
      <c r="BN260" s="22">
        <f t="shared" si="43"/>
        <v>12.6</v>
      </c>
      <c r="BO260" s="23" t="str">
        <f t="shared" si="44"/>
        <v>ok</v>
      </c>
      <c r="BP260" s="22">
        <f t="shared" si="45"/>
        <v>169.5</v>
      </c>
      <c r="BQ260" s="22" t="str">
        <f t="shared" si="46"/>
        <v>ok</v>
      </c>
      <c r="BR260" s="56"/>
    </row>
    <row r="261" spans="1:70" s="12" customFormat="1" ht="24.95" customHeight="1" x14ac:dyDescent="0.25">
      <c r="A261" s="4" t="s">
        <v>539</v>
      </c>
      <c r="B261" s="15" t="s">
        <v>540</v>
      </c>
      <c r="C261" s="5">
        <v>70017</v>
      </c>
      <c r="D261" s="5" t="s">
        <v>733</v>
      </c>
      <c r="E261" s="16" t="s">
        <v>981</v>
      </c>
      <c r="F261" s="16">
        <v>1</v>
      </c>
      <c r="G261" s="16">
        <v>0</v>
      </c>
      <c r="H261" s="16">
        <v>0</v>
      </c>
      <c r="I261" s="16" t="s">
        <v>15</v>
      </c>
      <c r="J261" s="17"/>
      <c r="K261" s="17"/>
      <c r="L261" s="17"/>
      <c r="M261" s="17"/>
      <c r="N261" s="17"/>
      <c r="O261" s="13"/>
      <c r="P261" s="13"/>
      <c r="Q261" s="13">
        <v>41</v>
      </c>
      <c r="R261" s="6">
        <v>36</v>
      </c>
      <c r="S261" s="7">
        <v>0.18</v>
      </c>
      <c r="T261" s="62">
        <v>33</v>
      </c>
      <c r="U261" s="16">
        <v>18</v>
      </c>
      <c r="V261" s="16"/>
      <c r="W261" s="16">
        <v>156</v>
      </c>
      <c r="X261" s="18">
        <v>156</v>
      </c>
      <c r="Y261" s="16">
        <f t="shared" si="47"/>
        <v>0</v>
      </c>
      <c r="Z261" s="16">
        <f t="shared" si="48"/>
        <v>18</v>
      </c>
      <c r="AA261" s="4">
        <v>0</v>
      </c>
      <c r="AB261" s="4">
        <v>0</v>
      </c>
      <c r="AC261" s="4">
        <v>0</v>
      </c>
      <c r="AD261" s="4">
        <v>0</v>
      </c>
      <c r="AE261" s="19">
        <v>0</v>
      </c>
      <c r="AF261" s="13">
        <f t="shared" si="49"/>
        <v>4</v>
      </c>
      <c r="AG261" s="20">
        <f t="shared" si="41"/>
        <v>46031</v>
      </c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21"/>
      <c r="AW261" s="13">
        <v>18</v>
      </c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>
        <f t="shared" si="42"/>
        <v>0</v>
      </c>
      <c r="BN261" s="22">
        <f t="shared" si="43"/>
        <v>18</v>
      </c>
      <c r="BO261" s="23" t="str">
        <f t="shared" si="44"/>
        <v>ok</v>
      </c>
      <c r="BP261" s="22">
        <f t="shared" si="45"/>
        <v>156</v>
      </c>
      <c r="BQ261" s="22" t="str">
        <f t="shared" si="46"/>
        <v>ok</v>
      </c>
      <c r="BR261" s="56"/>
    </row>
    <row r="262" spans="1:70" s="12" customFormat="1" ht="24.95" customHeight="1" x14ac:dyDescent="0.25">
      <c r="A262" s="4" t="s">
        <v>541</v>
      </c>
      <c r="B262" s="15" t="s">
        <v>542</v>
      </c>
      <c r="C262" s="5">
        <v>70017</v>
      </c>
      <c r="D262" s="5" t="s">
        <v>733</v>
      </c>
      <c r="E262" s="16" t="s">
        <v>982</v>
      </c>
      <c r="F262" s="16">
        <v>1</v>
      </c>
      <c r="G262" s="16">
        <v>0</v>
      </c>
      <c r="H262" s="16">
        <v>0</v>
      </c>
      <c r="I262" s="16" t="s">
        <v>15</v>
      </c>
      <c r="J262" s="17"/>
      <c r="K262" s="17"/>
      <c r="L262" s="17"/>
      <c r="M262" s="17"/>
      <c r="N262" s="17"/>
      <c r="O262" s="13"/>
      <c r="P262" s="13"/>
      <c r="Q262" s="13">
        <v>15</v>
      </c>
      <c r="R262" s="6">
        <v>12</v>
      </c>
      <c r="S262" s="7">
        <v>0.18</v>
      </c>
      <c r="T262" s="62">
        <v>33</v>
      </c>
      <c r="U262" s="16">
        <v>9.9</v>
      </c>
      <c r="V262" s="16"/>
      <c r="W262" s="16">
        <v>51</v>
      </c>
      <c r="X262" s="18">
        <v>51</v>
      </c>
      <c r="Y262" s="16">
        <f t="shared" si="47"/>
        <v>0</v>
      </c>
      <c r="Z262" s="16">
        <f t="shared" si="48"/>
        <v>9.9</v>
      </c>
      <c r="AA262" s="4">
        <v>0</v>
      </c>
      <c r="AB262" s="4">
        <v>0</v>
      </c>
      <c r="AC262" s="4">
        <v>0</v>
      </c>
      <c r="AD262" s="4">
        <v>0</v>
      </c>
      <c r="AE262" s="19">
        <v>0</v>
      </c>
      <c r="AF262" s="13">
        <f t="shared" si="49"/>
        <v>4</v>
      </c>
      <c r="AG262" s="20">
        <f t="shared" si="41"/>
        <v>46031</v>
      </c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21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>
        <v>9.9</v>
      </c>
      <c r="BG262" s="13"/>
      <c r="BH262" s="13"/>
      <c r="BI262" s="13"/>
      <c r="BJ262" s="13"/>
      <c r="BK262" s="13"/>
      <c r="BL262" s="13"/>
      <c r="BM262" s="13">
        <f t="shared" si="42"/>
        <v>0</v>
      </c>
      <c r="BN262" s="22">
        <f t="shared" si="43"/>
        <v>9.9</v>
      </c>
      <c r="BO262" s="23" t="str">
        <f t="shared" si="44"/>
        <v>ok</v>
      </c>
      <c r="BP262" s="22">
        <f t="shared" si="45"/>
        <v>51</v>
      </c>
      <c r="BQ262" s="22" t="str">
        <f t="shared" si="46"/>
        <v>ok</v>
      </c>
      <c r="BR262" s="56"/>
    </row>
    <row r="263" spans="1:70" s="12" customFormat="1" ht="24.95" customHeight="1" x14ac:dyDescent="0.25">
      <c r="A263" s="4" t="s">
        <v>543</v>
      </c>
      <c r="B263" s="15" t="s">
        <v>544</v>
      </c>
      <c r="C263" s="5">
        <v>70017</v>
      </c>
      <c r="D263" s="5" t="s">
        <v>733</v>
      </c>
      <c r="E263" s="16" t="s">
        <v>983</v>
      </c>
      <c r="F263" s="16">
        <v>1</v>
      </c>
      <c r="G263" s="16">
        <v>0</v>
      </c>
      <c r="H263" s="16">
        <v>0</v>
      </c>
      <c r="I263" s="16" t="s">
        <v>15</v>
      </c>
      <c r="J263" s="17"/>
      <c r="K263" s="17"/>
      <c r="L263" s="17"/>
      <c r="M263" s="17"/>
      <c r="N263" s="17"/>
      <c r="O263" s="13"/>
      <c r="P263" s="13"/>
      <c r="Q263" s="13">
        <v>11</v>
      </c>
      <c r="R263" s="6">
        <v>8</v>
      </c>
      <c r="S263" s="7">
        <v>0.08</v>
      </c>
      <c r="T263" s="62">
        <v>33</v>
      </c>
      <c r="U263" s="16">
        <v>20.7</v>
      </c>
      <c r="V263" s="16"/>
      <c r="W263" s="16">
        <v>66</v>
      </c>
      <c r="X263" s="18">
        <v>66</v>
      </c>
      <c r="Y263" s="16">
        <f t="shared" si="47"/>
        <v>0</v>
      </c>
      <c r="Z263" s="16">
        <f t="shared" si="48"/>
        <v>20.7</v>
      </c>
      <c r="AA263" s="4">
        <v>0</v>
      </c>
      <c r="AB263" s="4">
        <v>0</v>
      </c>
      <c r="AC263" s="4">
        <v>0</v>
      </c>
      <c r="AD263" s="4">
        <v>0</v>
      </c>
      <c r="AE263" s="19">
        <v>0</v>
      </c>
      <c r="AF263" s="13">
        <f t="shared" si="49"/>
        <v>4</v>
      </c>
      <c r="AG263" s="20">
        <f t="shared" si="41"/>
        <v>46031</v>
      </c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>
        <v>20.7</v>
      </c>
      <c r="AU263" s="24"/>
      <c r="AV263" s="24"/>
      <c r="AW263" s="24"/>
      <c r="AX263" s="24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>
        <f t="shared" si="42"/>
        <v>0</v>
      </c>
      <c r="BN263" s="22">
        <f t="shared" si="43"/>
        <v>20.7</v>
      </c>
      <c r="BO263" s="23" t="str">
        <f t="shared" si="44"/>
        <v>ok</v>
      </c>
      <c r="BP263" s="22">
        <f t="shared" si="45"/>
        <v>66</v>
      </c>
      <c r="BQ263" s="22" t="str">
        <f t="shared" si="46"/>
        <v>ok</v>
      </c>
      <c r="BR263" s="56"/>
    </row>
    <row r="264" spans="1:70" s="12" customFormat="1" ht="24.95" customHeight="1" x14ac:dyDescent="0.25">
      <c r="A264" s="4" t="s">
        <v>545</v>
      </c>
      <c r="B264" s="15" t="s">
        <v>546</v>
      </c>
      <c r="C264" s="5">
        <v>70017</v>
      </c>
      <c r="D264" s="5" t="s">
        <v>733</v>
      </c>
      <c r="E264" s="16" t="s">
        <v>984</v>
      </c>
      <c r="F264" s="16">
        <v>1</v>
      </c>
      <c r="G264" s="16">
        <v>0</v>
      </c>
      <c r="H264" s="16">
        <v>0</v>
      </c>
      <c r="I264" s="16" t="s">
        <v>15</v>
      </c>
      <c r="J264" s="17"/>
      <c r="K264" s="17"/>
      <c r="L264" s="17"/>
      <c r="M264" s="17"/>
      <c r="N264" s="17"/>
      <c r="O264" s="13"/>
      <c r="P264" s="13"/>
      <c r="Q264" s="13">
        <v>18</v>
      </c>
      <c r="R264" s="6">
        <v>15</v>
      </c>
      <c r="S264" s="7">
        <v>0.18</v>
      </c>
      <c r="T264" s="62">
        <v>33</v>
      </c>
      <c r="U264" s="16">
        <v>9</v>
      </c>
      <c r="V264" s="16"/>
      <c r="W264" s="16">
        <v>90</v>
      </c>
      <c r="X264" s="18">
        <v>90</v>
      </c>
      <c r="Y264" s="16">
        <f t="shared" si="47"/>
        <v>0</v>
      </c>
      <c r="Z264" s="16">
        <f t="shared" si="48"/>
        <v>9</v>
      </c>
      <c r="AA264" s="4">
        <v>0</v>
      </c>
      <c r="AB264" s="4">
        <v>0</v>
      </c>
      <c r="AC264" s="4">
        <v>0</v>
      </c>
      <c r="AD264" s="4">
        <v>0</v>
      </c>
      <c r="AE264" s="19">
        <v>0</v>
      </c>
      <c r="AF264" s="13">
        <f t="shared" si="49"/>
        <v>4</v>
      </c>
      <c r="AG264" s="20">
        <f t="shared" si="41"/>
        <v>46031</v>
      </c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>
        <v>9</v>
      </c>
      <c r="BM264" s="13">
        <f t="shared" si="42"/>
        <v>9</v>
      </c>
      <c r="BN264" s="22">
        <f t="shared" si="43"/>
        <v>0</v>
      </c>
      <c r="BO264" s="23" t="str">
        <f t="shared" si="44"/>
        <v>ok</v>
      </c>
      <c r="BP264" s="22">
        <f t="shared" si="45"/>
        <v>90</v>
      </c>
      <c r="BQ264" s="22" t="str">
        <f t="shared" si="46"/>
        <v>ok</v>
      </c>
      <c r="BR264" s="56"/>
    </row>
    <row r="265" spans="1:70" s="12" customFormat="1" ht="24.95" customHeight="1" x14ac:dyDescent="0.25">
      <c r="A265" s="4" t="s">
        <v>547</v>
      </c>
      <c r="B265" s="15" t="s">
        <v>548</v>
      </c>
      <c r="C265" s="5">
        <v>70017</v>
      </c>
      <c r="D265" s="5" t="s">
        <v>733</v>
      </c>
      <c r="E265" s="16" t="s">
        <v>985</v>
      </c>
      <c r="F265" s="16">
        <v>1</v>
      </c>
      <c r="G265" s="16">
        <v>0</v>
      </c>
      <c r="H265" s="16">
        <v>0</v>
      </c>
      <c r="I265" s="16" t="s">
        <v>15</v>
      </c>
      <c r="J265" s="17"/>
      <c r="K265" s="17"/>
      <c r="L265" s="17"/>
      <c r="M265" s="17"/>
      <c r="N265" s="17"/>
      <c r="O265" s="13"/>
      <c r="P265" s="13"/>
      <c r="Q265" s="13">
        <v>29</v>
      </c>
      <c r="R265" s="6">
        <v>10</v>
      </c>
      <c r="S265" s="7">
        <v>0.13</v>
      </c>
      <c r="T265" s="62">
        <v>33</v>
      </c>
      <c r="U265" s="16">
        <v>9.9</v>
      </c>
      <c r="V265" s="16"/>
      <c r="W265" s="16">
        <v>58.5</v>
      </c>
      <c r="X265" s="18">
        <v>58.5</v>
      </c>
      <c r="Y265" s="16">
        <f t="shared" si="47"/>
        <v>0</v>
      </c>
      <c r="Z265" s="16">
        <f t="shared" si="48"/>
        <v>9.9</v>
      </c>
      <c r="AA265" s="4">
        <v>0</v>
      </c>
      <c r="AB265" s="4">
        <v>0</v>
      </c>
      <c r="AC265" s="4">
        <v>0</v>
      </c>
      <c r="AD265" s="4">
        <v>0</v>
      </c>
      <c r="AE265" s="19">
        <v>0</v>
      </c>
      <c r="AF265" s="13">
        <f t="shared" si="49"/>
        <v>4</v>
      </c>
      <c r="AG265" s="20">
        <f t="shared" si="41"/>
        <v>46031</v>
      </c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>
        <v>9.9</v>
      </c>
      <c r="BH265" s="13"/>
      <c r="BI265" s="13"/>
      <c r="BJ265" s="13"/>
      <c r="BK265" s="13"/>
      <c r="BL265" s="13"/>
      <c r="BM265" s="13">
        <f t="shared" si="42"/>
        <v>0</v>
      </c>
      <c r="BN265" s="22">
        <f t="shared" si="43"/>
        <v>9.9</v>
      </c>
      <c r="BO265" s="23" t="str">
        <f t="shared" si="44"/>
        <v>ok</v>
      </c>
      <c r="BP265" s="22">
        <f t="shared" si="45"/>
        <v>58.5</v>
      </c>
      <c r="BQ265" s="22" t="str">
        <f t="shared" si="46"/>
        <v>ok</v>
      </c>
      <c r="BR265" s="56"/>
    </row>
    <row r="266" spans="1:70" s="12" customFormat="1" ht="24.95" customHeight="1" x14ac:dyDescent="0.25">
      <c r="A266" s="4" t="s">
        <v>549</v>
      </c>
      <c r="B266" s="15" t="s">
        <v>550</v>
      </c>
      <c r="C266" s="5">
        <v>70017</v>
      </c>
      <c r="D266" s="5" t="s">
        <v>733</v>
      </c>
      <c r="E266" s="16" t="s">
        <v>986</v>
      </c>
      <c r="F266" s="16">
        <v>1</v>
      </c>
      <c r="G266" s="16">
        <v>0</v>
      </c>
      <c r="H266" s="16">
        <v>0</v>
      </c>
      <c r="I266" s="16" t="s">
        <v>15</v>
      </c>
      <c r="J266" s="17"/>
      <c r="K266" s="17"/>
      <c r="L266" s="17"/>
      <c r="M266" s="17"/>
      <c r="N266" s="17"/>
      <c r="O266" s="13"/>
      <c r="P266" s="13"/>
      <c r="Q266" s="13">
        <v>49</v>
      </c>
      <c r="R266" s="6">
        <v>42</v>
      </c>
      <c r="S266" s="7">
        <v>0.18</v>
      </c>
      <c r="T266" s="62">
        <v>33</v>
      </c>
      <c r="U266" s="16">
        <v>9.9</v>
      </c>
      <c r="V266" s="16"/>
      <c r="W266" s="16">
        <v>43.5</v>
      </c>
      <c r="X266" s="18">
        <v>43.5</v>
      </c>
      <c r="Y266" s="16">
        <f t="shared" si="47"/>
        <v>0</v>
      </c>
      <c r="Z266" s="16">
        <f t="shared" si="48"/>
        <v>9.9</v>
      </c>
      <c r="AA266" s="4">
        <v>0</v>
      </c>
      <c r="AB266" s="4">
        <v>0</v>
      </c>
      <c r="AC266" s="4">
        <v>0</v>
      </c>
      <c r="AD266" s="4">
        <v>0</v>
      </c>
      <c r="AE266" s="32">
        <v>0</v>
      </c>
      <c r="AF266" s="13">
        <f t="shared" si="49"/>
        <v>4</v>
      </c>
      <c r="AG266" s="20">
        <f t="shared" si="41"/>
        <v>46031</v>
      </c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>
        <v>9.9</v>
      </c>
      <c r="BI266" s="13"/>
      <c r="BJ266" s="13"/>
      <c r="BK266" s="13"/>
      <c r="BL266" s="13"/>
      <c r="BM266" s="13">
        <f t="shared" si="42"/>
        <v>0</v>
      </c>
      <c r="BN266" s="22">
        <f t="shared" si="43"/>
        <v>9.9</v>
      </c>
      <c r="BO266" s="23" t="str">
        <f t="shared" si="44"/>
        <v>ok</v>
      </c>
      <c r="BP266" s="22">
        <f t="shared" si="45"/>
        <v>43.5</v>
      </c>
      <c r="BQ266" s="22" t="str">
        <f t="shared" si="46"/>
        <v>ok</v>
      </c>
      <c r="BR266" s="56"/>
    </row>
    <row r="267" spans="1:70" s="12" customFormat="1" ht="24.95" customHeight="1" x14ac:dyDescent="0.25">
      <c r="A267" s="4" t="s">
        <v>551</v>
      </c>
      <c r="B267" s="15" t="s">
        <v>552</v>
      </c>
      <c r="C267" s="5">
        <v>70017</v>
      </c>
      <c r="D267" s="5" t="s">
        <v>733</v>
      </c>
      <c r="E267" s="16" t="s">
        <v>987</v>
      </c>
      <c r="F267" s="16">
        <v>1</v>
      </c>
      <c r="G267" s="16">
        <v>0</v>
      </c>
      <c r="H267" s="16">
        <v>0</v>
      </c>
      <c r="I267" s="16" t="s">
        <v>15</v>
      </c>
      <c r="J267" s="17"/>
      <c r="K267" s="17"/>
      <c r="L267" s="17"/>
      <c r="M267" s="17"/>
      <c r="N267" s="17"/>
      <c r="O267" s="13"/>
      <c r="P267" s="13"/>
      <c r="Q267" s="13">
        <v>25</v>
      </c>
      <c r="R267" s="6">
        <v>22</v>
      </c>
      <c r="S267" s="7">
        <v>0.18</v>
      </c>
      <c r="T267" s="62">
        <v>33</v>
      </c>
      <c r="U267" s="16">
        <v>12.6</v>
      </c>
      <c r="V267" s="16"/>
      <c r="W267" s="16">
        <v>30</v>
      </c>
      <c r="X267" s="18">
        <v>30</v>
      </c>
      <c r="Y267" s="16">
        <f t="shared" si="47"/>
        <v>0</v>
      </c>
      <c r="Z267" s="16">
        <f t="shared" si="48"/>
        <v>12.6</v>
      </c>
      <c r="AA267" s="4">
        <v>18</v>
      </c>
      <c r="AB267" s="4">
        <v>0</v>
      </c>
      <c r="AC267" s="4">
        <v>0</v>
      </c>
      <c r="AD267" s="4">
        <v>0</v>
      </c>
      <c r="AE267" s="19">
        <v>18</v>
      </c>
      <c r="AF267" s="13">
        <f t="shared" si="49"/>
        <v>4</v>
      </c>
      <c r="AG267" s="20">
        <f t="shared" si="41"/>
        <v>46032</v>
      </c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13"/>
      <c r="AZ267" s="13">
        <v>12.6</v>
      </c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>
        <f t="shared" si="42"/>
        <v>0</v>
      </c>
      <c r="BN267" s="22">
        <f t="shared" si="43"/>
        <v>12.6</v>
      </c>
      <c r="BO267" s="23" t="str">
        <f t="shared" si="44"/>
        <v>ok</v>
      </c>
      <c r="BP267" s="22">
        <f t="shared" si="45"/>
        <v>30</v>
      </c>
      <c r="BQ267" s="22" t="str">
        <f t="shared" si="46"/>
        <v>ok</v>
      </c>
      <c r="BR267" s="56"/>
    </row>
    <row r="268" spans="1:70" s="12" customFormat="1" ht="24.95" customHeight="1" x14ac:dyDescent="0.25">
      <c r="A268" s="4" t="s">
        <v>553</v>
      </c>
      <c r="B268" s="15" t="s">
        <v>554</v>
      </c>
      <c r="C268" s="5">
        <v>70017</v>
      </c>
      <c r="D268" s="5" t="s">
        <v>733</v>
      </c>
      <c r="E268" s="16" t="s">
        <v>988</v>
      </c>
      <c r="F268" s="16">
        <v>1</v>
      </c>
      <c r="G268" s="16">
        <v>0</v>
      </c>
      <c r="H268" s="16">
        <v>0</v>
      </c>
      <c r="I268" s="16" t="s">
        <v>15</v>
      </c>
      <c r="J268" s="17"/>
      <c r="K268" s="17"/>
      <c r="L268" s="17"/>
      <c r="M268" s="17"/>
      <c r="N268" s="17"/>
      <c r="O268" s="13"/>
      <c r="P268" s="13"/>
      <c r="Q268" s="13">
        <v>35</v>
      </c>
      <c r="R268" s="6">
        <v>9</v>
      </c>
      <c r="S268" s="7">
        <v>0.13</v>
      </c>
      <c r="T268" s="62">
        <v>33</v>
      </c>
      <c r="U268" s="16">
        <v>9.9</v>
      </c>
      <c r="V268" s="16"/>
      <c r="W268" s="16">
        <v>42</v>
      </c>
      <c r="X268" s="18">
        <v>42</v>
      </c>
      <c r="Y268" s="16">
        <f t="shared" si="47"/>
        <v>0</v>
      </c>
      <c r="Z268" s="16">
        <f t="shared" si="48"/>
        <v>9.9</v>
      </c>
      <c r="AA268" s="4">
        <v>0</v>
      </c>
      <c r="AB268" s="4">
        <v>0</v>
      </c>
      <c r="AC268" s="4">
        <v>0</v>
      </c>
      <c r="AD268" s="4">
        <v>0</v>
      </c>
      <c r="AE268" s="32">
        <v>0</v>
      </c>
      <c r="AF268" s="13">
        <f t="shared" si="49"/>
        <v>4</v>
      </c>
      <c r="AG268" s="20">
        <f t="shared" si="41"/>
        <v>46031</v>
      </c>
      <c r="AH268" s="13"/>
      <c r="AI268" s="13"/>
      <c r="AJ268" s="13"/>
      <c r="AK268" s="13"/>
      <c r="AL268" s="13">
        <v>9.9</v>
      </c>
      <c r="AM268" s="13"/>
      <c r="AN268" s="13"/>
      <c r="AO268" s="13"/>
      <c r="AP268" s="13"/>
      <c r="AQ268" s="13"/>
      <c r="AR268" s="13"/>
      <c r="AS268" s="13"/>
      <c r="AT268" s="13"/>
      <c r="AU268" s="13"/>
      <c r="AV268" s="21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>
        <f t="shared" si="42"/>
        <v>0</v>
      </c>
      <c r="BN268" s="22">
        <f t="shared" si="43"/>
        <v>9.9</v>
      </c>
      <c r="BO268" s="23" t="str">
        <f t="shared" si="44"/>
        <v>ok</v>
      </c>
      <c r="BP268" s="22">
        <f t="shared" si="45"/>
        <v>42</v>
      </c>
      <c r="BQ268" s="22" t="str">
        <f t="shared" si="46"/>
        <v>ok</v>
      </c>
      <c r="BR268" s="56"/>
    </row>
    <row r="269" spans="1:70" s="12" customFormat="1" ht="24.95" customHeight="1" x14ac:dyDescent="0.25">
      <c r="A269" s="4" t="s">
        <v>555</v>
      </c>
      <c r="B269" s="15" t="s">
        <v>556</v>
      </c>
      <c r="C269" s="5">
        <v>70018</v>
      </c>
      <c r="D269" s="5" t="s">
        <v>733</v>
      </c>
      <c r="E269" s="16" t="s">
        <v>989</v>
      </c>
      <c r="F269" s="16">
        <v>1</v>
      </c>
      <c r="G269" s="16">
        <v>0</v>
      </c>
      <c r="H269" s="16">
        <v>0</v>
      </c>
      <c r="I269" s="16" t="s">
        <v>14</v>
      </c>
      <c r="J269" s="17"/>
      <c r="K269" s="17"/>
      <c r="L269" s="17"/>
      <c r="M269" s="17"/>
      <c r="N269" s="17"/>
      <c r="O269" s="13"/>
      <c r="P269" s="13"/>
      <c r="Q269" s="13">
        <v>108</v>
      </c>
      <c r="R269" s="6">
        <v>94</v>
      </c>
      <c r="S269" s="7">
        <v>0.18</v>
      </c>
      <c r="T269" s="62">
        <v>33</v>
      </c>
      <c r="U269" s="16">
        <v>19.8</v>
      </c>
      <c r="V269" s="16"/>
      <c r="W269" s="16">
        <v>45</v>
      </c>
      <c r="X269" s="18">
        <v>45</v>
      </c>
      <c r="Y269" s="16">
        <f t="shared" si="47"/>
        <v>0</v>
      </c>
      <c r="Z269" s="16">
        <f t="shared" si="48"/>
        <v>19.8</v>
      </c>
      <c r="AA269" s="4">
        <v>0</v>
      </c>
      <c r="AB269" s="4">
        <v>0</v>
      </c>
      <c r="AC269" s="4">
        <v>0</v>
      </c>
      <c r="AD269" s="4">
        <v>0</v>
      </c>
      <c r="AE269" s="19">
        <v>0</v>
      </c>
      <c r="AF269" s="13">
        <f t="shared" si="49"/>
        <v>3</v>
      </c>
      <c r="AG269" s="20">
        <f t="shared" si="41"/>
        <v>46031</v>
      </c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13">
        <v>19.8</v>
      </c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>
        <f t="shared" si="42"/>
        <v>0</v>
      </c>
      <c r="BN269" s="22">
        <f t="shared" si="43"/>
        <v>19.8</v>
      </c>
      <c r="BO269" s="23" t="str">
        <f t="shared" si="44"/>
        <v>ok</v>
      </c>
      <c r="BP269" s="22">
        <f t="shared" si="45"/>
        <v>45</v>
      </c>
      <c r="BQ269" s="22" t="str">
        <f t="shared" si="46"/>
        <v>ok</v>
      </c>
      <c r="BR269" s="56"/>
    </row>
    <row r="270" spans="1:70" s="12" customFormat="1" ht="24.95" customHeight="1" x14ac:dyDescent="0.25">
      <c r="A270" s="4" t="s">
        <v>557</v>
      </c>
      <c r="B270" s="15" t="s">
        <v>558</v>
      </c>
      <c r="C270" s="5">
        <v>70018</v>
      </c>
      <c r="D270" s="5" t="s">
        <v>733</v>
      </c>
      <c r="E270" s="16" t="s">
        <v>990</v>
      </c>
      <c r="F270" s="16">
        <v>1</v>
      </c>
      <c r="G270" s="16">
        <v>0</v>
      </c>
      <c r="H270" s="16">
        <v>0</v>
      </c>
      <c r="I270" s="16" t="s">
        <v>14</v>
      </c>
      <c r="J270" s="17"/>
      <c r="K270" s="17"/>
      <c r="L270" s="17"/>
      <c r="M270" s="17"/>
      <c r="N270" s="17"/>
      <c r="O270" s="13"/>
      <c r="P270" s="13"/>
      <c r="Q270" s="13">
        <v>15</v>
      </c>
      <c r="R270" s="6">
        <v>12</v>
      </c>
      <c r="S270" s="7">
        <v>0.09</v>
      </c>
      <c r="T270" s="62">
        <v>33</v>
      </c>
      <c r="U270" s="16">
        <v>24.3</v>
      </c>
      <c r="V270" s="16"/>
      <c r="W270" s="16">
        <v>67.5</v>
      </c>
      <c r="X270" s="18">
        <v>67.5</v>
      </c>
      <c r="Y270" s="16">
        <f t="shared" si="47"/>
        <v>0</v>
      </c>
      <c r="Z270" s="16">
        <f t="shared" si="48"/>
        <v>24.3</v>
      </c>
      <c r="AA270" s="4">
        <v>0</v>
      </c>
      <c r="AB270" s="4">
        <v>0</v>
      </c>
      <c r="AC270" s="4">
        <v>0</v>
      </c>
      <c r="AD270" s="4">
        <v>0</v>
      </c>
      <c r="AE270" s="32">
        <v>0</v>
      </c>
      <c r="AF270" s="13">
        <f t="shared" si="49"/>
        <v>3</v>
      </c>
      <c r="AG270" s="20">
        <f t="shared" si="41"/>
        <v>46031</v>
      </c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21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>
        <v>24.3</v>
      </c>
      <c r="BJ270" s="13"/>
      <c r="BK270" s="13"/>
      <c r="BL270" s="13"/>
      <c r="BM270" s="13">
        <f t="shared" si="42"/>
        <v>0</v>
      </c>
      <c r="BN270" s="22">
        <f t="shared" si="43"/>
        <v>24.3</v>
      </c>
      <c r="BO270" s="23" t="str">
        <f t="shared" si="44"/>
        <v>ok</v>
      </c>
      <c r="BP270" s="22">
        <f t="shared" si="45"/>
        <v>67.5</v>
      </c>
      <c r="BQ270" s="22" t="str">
        <f t="shared" si="46"/>
        <v>ok</v>
      </c>
      <c r="BR270" s="56"/>
    </row>
    <row r="271" spans="1:70" s="12" customFormat="1" ht="24.95" customHeight="1" x14ac:dyDescent="0.25">
      <c r="A271" s="4" t="s">
        <v>559</v>
      </c>
      <c r="B271" s="15" t="s">
        <v>560</v>
      </c>
      <c r="C271" s="5">
        <v>70018</v>
      </c>
      <c r="D271" s="5" t="s">
        <v>733</v>
      </c>
      <c r="E271" s="16" t="s">
        <v>815</v>
      </c>
      <c r="F271" s="16">
        <v>2</v>
      </c>
      <c r="G271" s="16">
        <v>0</v>
      </c>
      <c r="H271" s="16" t="s">
        <v>27</v>
      </c>
      <c r="I271" s="16" t="s">
        <v>14</v>
      </c>
      <c r="J271" s="17"/>
      <c r="K271" s="17"/>
      <c r="L271" s="17"/>
      <c r="M271" s="17"/>
      <c r="N271" s="17"/>
      <c r="O271" s="13"/>
      <c r="P271" s="13"/>
      <c r="Q271" s="13">
        <v>13</v>
      </c>
      <c r="R271" s="6">
        <v>10</v>
      </c>
      <c r="S271" s="7">
        <v>0.09</v>
      </c>
      <c r="T271" s="62">
        <v>45</v>
      </c>
      <c r="U271" s="16">
        <v>223.20000000000002</v>
      </c>
      <c r="V271" s="16"/>
      <c r="W271" s="16">
        <v>142.5</v>
      </c>
      <c r="X271" s="18">
        <v>142.5</v>
      </c>
      <c r="Y271" s="16">
        <f t="shared" si="47"/>
        <v>0</v>
      </c>
      <c r="Z271" s="16">
        <f t="shared" si="48"/>
        <v>223.2</v>
      </c>
      <c r="AA271" s="4">
        <v>0</v>
      </c>
      <c r="AB271" s="4">
        <v>0</v>
      </c>
      <c r="AC271" s="4">
        <v>45</v>
      </c>
      <c r="AD271" s="4">
        <v>0</v>
      </c>
      <c r="AE271" s="19">
        <v>45</v>
      </c>
      <c r="AF271" s="13">
        <f t="shared" si="49"/>
        <v>3</v>
      </c>
      <c r="AG271" s="20">
        <f t="shared" si="41"/>
        <v>46033</v>
      </c>
      <c r="AH271" s="24"/>
      <c r="AI271" s="24">
        <v>45</v>
      </c>
      <c r="AJ271" s="24">
        <v>45</v>
      </c>
      <c r="AK271" s="24"/>
      <c r="AL271" s="24"/>
      <c r="AM271" s="24"/>
      <c r="AN271" s="24"/>
      <c r="AO271" s="24">
        <v>45</v>
      </c>
      <c r="AP271" s="24"/>
      <c r="AQ271" s="24"/>
      <c r="AR271" s="24"/>
      <c r="AS271" s="24">
        <v>45</v>
      </c>
      <c r="AT271" s="24"/>
      <c r="AU271" s="24"/>
      <c r="AV271" s="24"/>
      <c r="AW271" s="24"/>
      <c r="AX271" s="24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>
        <v>43.2</v>
      </c>
      <c r="BI271" s="13"/>
      <c r="BJ271" s="13"/>
      <c r="BK271" s="13"/>
      <c r="BL271" s="13"/>
      <c r="BM271" s="13">
        <f t="shared" si="42"/>
        <v>2.8421709430404007E-14</v>
      </c>
      <c r="BN271" s="22">
        <f t="shared" si="43"/>
        <v>45</v>
      </c>
      <c r="BO271" s="23" t="str">
        <f t="shared" si="44"/>
        <v>ok</v>
      </c>
      <c r="BP271" s="22">
        <f t="shared" si="45"/>
        <v>142.5</v>
      </c>
      <c r="BQ271" s="22" t="str">
        <f t="shared" si="46"/>
        <v>ok</v>
      </c>
      <c r="BR271" s="56"/>
    </row>
    <row r="272" spans="1:70" s="12" customFormat="1" ht="24.95" customHeight="1" x14ac:dyDescent="0.25">
      <c r="A272" s="4" t="s">
        <v>561</v>
      </c>
      <c r="B272" s="15" t="s">
        <v>562</v>
      </c>
      <c r="C272" s="5">
        <v>70018</v>
      </c>
      <c r="D272" s="5" t="s">
        <v>733</v>
      </c>
      <c r="E272" s="16" t="s">
        <v>816</v>
      </c>
      <c r="F272" s="16">
        <v>2</v>
      </c>
      <c r="G272" s="16">
        <v>0</v>
      </c>
      <c r="H272" s="16" t="s">
        <v>27</v>
      </c>
      <c r="I272" s="16" t="s">
        <v>14</v>
      </c>
      <c r="J272" s="17"/>
      <c r="K272" s="17"/>
      <c r="L272" s="17"/>
      <c r="M272" s="17"/>
      <c r="N272" s="17"/>
      <c r="O272" s="13"/>
      <c r="P272" s="13"/>
      <c r="Q272" s="13">
        <v>48</v>
      </c>
      <c r="R272" s="6">
        <v>42</v>
      </c>
      <c r="S272" s="7">
        <v>0.09</v>
      </c>
      <c r="T272" s="62">
        <v>45</v>
      </c>
      <c r="U272" s="16">
        <v>26.1</v>
      </c>
      <c r="V272" s="16"/>
      <c r="W272" s="16">
        <v>28.5</v>
      </c>
      <c r="X272" s="18">
        <v>28.5</v>
      </c>
      <c r="Y272" s="16">
        <f t="shared" si="47"/>
        <v>0</v>
      </c>
      <c r="Z272" s="16">
        <f t="shared" si="48"/>
        <v>26.1</v>
      </c>
      <c r="AA272" s="4">
        <v>0</v>
      </c>
      <c r="AB272" s="4">
        <v>0</v>
      </c>
      <c r="AC272" s="4">
        <v>0</v>
      </c>
      <c r="AD272" s="4">
        <v>0</v>
      </c>
      <c r="AE272" s="32">
        <v>0</v>
      </c>
      <c r="AF272" s="13">
        <f t="shared" si="49"/>
        <v>3</v>
      </c>
      <c r="AG272" s="20">
        <f t="shared" si="41"/>
        <v>46031</v>
      </c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13"/>
      <c r="AZ272" s="13"/>
      <c r="BA272" s="13"/>
      <c r="BB272" s="13"/>
      <c r="BC272" s="13"/>
      <c r="BD272" s="13"/>
      <c r="BE272" s="13"/>
      <c r="BF272" s="13">
        <v>26.1</v>
      </c>
      <c r="BG272" s="13"/>
      <c r="BH272" s="13"/>
      <c r="BI272" s="13"/>
      <c r="BJ272" s="13"/>
      <c r="BK272" s="13"/>
      <c r="BL272" s="13"/>
      <c r="BM272" s="13">
        <f t="shared" si="42"/>
        <v>0</v>
      </c>
      <c r="BN272" s="22">
        <f t="shared" si="43"/>
        <v>26.1</v>
      </c>
      <c r="BO272" s="23" t="str">
        <f t="shared" si="44"/>
        <v>ok</v>
      </c>
      <c r="BP272" s="22">
        <f t="shared" si="45"/>
        <v>28.5</v>
      </c>
      <c r="BQ272" s="22" t="str">
        <f t="shared" si="46"/>
        <v>ok</v>
      </c>
      <c r="BR272" s="56"/>
    </row>
    <row r="273" spans="1:70" s="12" customFormat="1" ht="24.95" customHeight="1" x14ac:dyDescent="0.25">
      <c r="A273" s="4" t="s">
        <v>563</v>
      </c>
      <c r="B273" s="15" t="s">
        <v>564</v>
      </c>
      <c r="C273" s="5">
        <v>70018</v>
      </c>
      <c r="D273" s="5" t="s">
        <v>733</v>
      </c>
      <c r="E273" s="16" t="s">
        <v>817</v>
      </c>
      <c r="F273" s="16">
        <v>2</v>
      </c>
      <c r="G273" s="16">
        <v>0</v>
      </c>
      <c r="H273" s="16" t="s">
        <v>27</v>
      </c>
      <c r="I273" s="16" t="s">
        <v>14</v>
      </c>
      <c r="J273" s="17"/>
      <c r="K273" s="17"/>
      <c r="L273" s="17"/>
      <c r="M273" s="17"/>
      <c r="N273" s="17"/>
      <c r="O273" s="13"/>
      <c r="P273" s="13"/>
      <c r="Q273" s="13">
        <v>24</v>
      </c>
      <c r="R273" s="6">
        <v>20</v>
      </c>
      <c r="S273" s="7">
        <v>0.09</v>
      </c>
      <c r="T273" s="62">
        <v>45</v>
      </c>
      <c r="U273" s="16">
        <v>243</v>
      </c>
      <c r="V273" s="16"/>
      <c r="W273" s="16">
        <v>268.5</v>
      </c>
      <c r="X273" s="18">
        <v>268.5</v>
      </c>
      <c r="Y273" s="16">
        <f t="shared" si="47"/>
        <v>0</v>
      </c>
      <c r="Z273" s="16">
        <f t="shared" si="48"/>
        <v>243</v>
      </c>
      <c r="AA273" s="4">
        <v>0</v>
      </c>
      <c r="AB273" s="4">
        <v>10</v>
      </c>
      <c r="AC273" s="4">
        <v>45</v>
      </c>
      <c r="AD273" s="4">
        <v>0</v>
      </c>
      <c r="AE273" s="19">
        <v>55</v>
      </c>
      <c r="AF273" s="13">
        <f t="shared" si="49"/>
        <v>3</v>
      </c>
      <c r="AG273" s="20">
        <f t="shared" ref="AG273:AG336" si="50">IF(AH$16="", "", MAX(AH$16, IF(AD273&gt;0, AD$16+AF273+1, IF(AC273&gt;0, AC$16+AF273+1, IF(AB273&gt;0, AB$16+AF273+1, IF(AA273&gt;0, AA$16+AF273+1, 0))))))</f>
        <v>46033</v>
      </c>
      <c r="AH273" s="13"/>
      <c r="AI273" s="13"/>
      <c r="AJ273" s="13"/>
      <c r="AK273" s="13">
        <v>45</v>
      </c>
      <c r="AL273" s="13"/>
      <c r="AM273" s="13">
        <v>18</v>
      </c>
      <c r="AN273" s="13"/>
      <c r="AO273" s="13"/>
      <c r="AP273" s="13"/>
      <c r="AQ273" s="13"/>
      <c r="AR273" s="13"/>
      <c r="AS273" s="13"/>
      <c r="AT273" s="13"/>
      <c r="AU273" s="13"/>
      <c r="AV273" s="21"/>
      <c r="AW273" s="13"/>
      <c r="AX273" s="13">
        <v>45</v>
      </c>
      <c r="AY273" s="13"/>
      <c r="AZ273" s="13"/>
      <c r="BA273" s="13"/>
      <c r="BB273" s="13"/>
      <c r="BC273" s="13"/>
      <c r="BD273" s="13"/>
      <c r="BE273" s="13"/>
      <c r="BF273" s="13"/>
      <c r="BG273" s="13">
        <v>45</v>
      </c>
      <c r="BH273" s="13"/>
      <c r="BI273" s="13">
        <v>45</v>
      </c>
      <c r="BJ273" s="13"/>
      <c r="BK273" s="13">
        <v>45</v>
      </c>
      <c r="BL273" s="13"/>
      <c r="BM273" s="13">
        <f t="shared" ref="BM273:BM336" si="51">SUM(U273-(SUM(AH273:BJ273)))</f>
        <v>45</v>
      </c>
      <c r="BN273" s="22">
        <f t="shared" ref="BN273:BN336" si="52">MAX(AH273:BJ273)</f>
        <v>45</v>
      </c>
      <c r="BO273" s="23" t="str">
        <f t="shared" ref="BO273:BO336" si="53">IF(BN273&gt;W273+V273,"ver","ok")</f>
        <v>ok</v>
      </c>
      <c r="BP273" s="22">
        <f t="shared" ref="BP273:BP336" si="54">V273+W273</f>
        <v>268.5</v>
      </c>
      <c r="BQ273" s="22" t="str">
        <f t="shared" ref="BQ273:BQ336" si="55">IF(BN273&gt;BP273,BN273,"ok")</f>
        <v>ok</v>
      </c>
      <c r="BR273" s="56"/>
    </row>
    <row r="274" spans="1:70" s="12" customFormat="1" ht="24.95" customHeight="1" x14ac:dyDescent="0.25">
      <c r="A274" s="4" t="s">
        <v>565</v>
      </c>
      <c r="B274" s="15" t="s">
        <v>566</v>
      </c>
      <c r="C274" s="5">
        <v>70018</v>
      </c>
      <c r="D274" s="5" t="s">
        <v>733</v>
      </c>
      <c r="E274" s="16" t="s">
        <v>991</v>
      </c>
      <c r="F274" s="16">
        <v>1</v>
      </c>
      <c r="G274" s="16">
        <v>0</v>
      </c>
      <c r="H274" s="16">
        <v>0</v>
      </c>
      <c r="I274" s="16" t="s">
        <v>14</v>
      </c>
      <c r="J274" s="17"/>
      <c r="K274" s="17"/>
      <c r="L274" s="17"/>
      <c r="M274" s="17"/>
      <c r="N274" s="17"/>
      <c r="O274" s="13"/>
      <c r="P274" s="13"/>
      <c r="Q274" s="13">
        <v>16</v>
      </c>
      <c r="R274" s="6">
        <v>13</v>
      </c>
      <c r="S274" s="7">
        <v>0.09</v>
      </c>
      <c r="T274" s="62">
        <v>33</v>
      </c>
      <c r="U274" s="16">
        <v>162</v>
      </c>
      <c r="V274" s="16"/>
      <c r="W274" s="16">
        <v>103.5</v>
      </c>
      <c r="X274" s="18">
        <v>103.5</v>
      </c>
      <c r="Y274" s="16">
        <f t="shared" ref="Y274:Y337" si="56">Z274-U274</f>
        <v>0</v>
      </c>
      <c r="Z274" s="16">
        <f t="shared" ref="Z274:Z337" si="57">SUM(AH274:BL274)</f>
        <v>162</v>
      </c>
      <c r="AA274" s="4">
        <v>0</v>
      </c>
      <c r="AB274" s="4">
        <v>45</v>
      </c>
      <c r="AC274" s="4">
        <v>0</v>
      </c>
      <c r="AD274" s="4">
        <v>0</v>
      </c>
      <c r="AE274" s="32">
        <v>45</v>
      </c>
      <c r="AF274" s="13">
        <f t="shared" ref="AF274:AF337" si="58">IF(I274="Máquina",IF(COUNTIF(D274,"*cat02*"),4,IF(COUNTIF(D274,"*cat01*"),3,IF(COUNTIF(D274,"*cat04*"),2,IF(COUNTIF(D274,"*cat03*"),5,2)))),IF(COUNTIF(D274,"*cat02*"),3,IF(COUNTIF(D274,"*cat01*"),2,IF(COUNTIF(D274,"*cat04*"),2,IF(COUNTIF(D274,"*cat03*"),5,2)))))</f>
        <v>3</v>
      </c>
      <c r="AG274" s="20">
        <f t="shared" si="50"/>
        <v>46032</v>
      </c>
      <c r="AH274" s="13"/>
      <c r="AI274" s="13"/>
      <c r="AJ274" s="13"/>
      <c r="AK274" s="13"/>
      <c r="AL274" s="13"/>
      <c r="AM274" s="13"/>
      <c r="AN274" s="13">
        <v>33</v>
      </c>
      <c r="AO274" s="13"/>
      <c r="AP274" s="13"/>
      <c r="AQ274" s="13">
        <v>33</v>
      </c>
      <c r="AR274" s="13"/>
      <c r="AS274" s="13"/>
      <c r="AT274" s="13">
        <v>30</v>
      </c>
      <c r="AU274" s="13"/>
      <c r="AV274" s="21">
        <v>33</v>
      </c>
      <c r="AW274" s="13"/>
      <c r="AX274" s="13"/>
      <c r="AY274" s="13"/>
      <c r="AZ274" s="13"/>
      <c r="BA274" s="13"/>
      <c r="BB274" s="13">
        <v>33</v>
      </c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>
        <f t="shared" si="51"/>
        <v>0</v>
      </c>
      <c r="BN274" s="22">
        <f t="shared" si="52"/>
        <v>33</v>
      </c>
      <c r="BO274" s="23" t="str">
        <f t="shared" si="53"/>
        <v>ok</v>
      </c>
      <c r="BP274" s="22">
        <f t="shared" si="54"/>
        <v>103.5</v>
      </c>
      <c r="BQ274" s="22" t="str">
        <f t="shared" si="55"/>
        <v>ok</v>
      </c>
      <c r="BR274" s="56"/>
    </row>
    <row r="275" spans="1:70" s="12" customFormat="1" ht="24.95" customHeight="1" x14ac:dyDescent="0.25">
      <c r="A275" s="4" t="s">
        <v>567</v>
      </c>
      <c r="B275" s="15" t="s">
        <v>568</v>
      </c>
      <c r="C275" s="5">
        <v>70018</v>
      </c>
      <c r="D275" s="5" t="s">
        <v>733</v>
      </c>
      <c r="E275" s="16" t="s">
        <v>818</v>
      </c>
      <c r="F275" s="16">
        <v>2</v>
      </c>
      <c r="G275" s="16">
        <v>0</v>
      </c>
      <c r="H275" s="16" t="s">
        <v>27</v>
      </c>
      <c r="I275" s="16" t="s">
        <v>14</v>
      </c>
      <c r="J275" s="17"/>
      <c r="K275" s="17"/>
      <c r="L275" s="17"/>
      <c r="M275" s="17"/>
      <c r="N275" s="17"/>
      <c r="O275" s="13"/>
      <c r="P275" s="13"/>
      <c r="Q275" s="13">
        <v>29</v>
      </c>
      <c r="R275" s="6">
        <v>25</v>
      </c>
      <c r="S275" s="7">
        <v>0.09</v>
      </c>
      <c r="T275" s="62">
        <v>45</v>
      </c>
      <c r="U275" s="16">
        <v>423</v>
      </c>
      <c r="V275" s="16"/>
      <c r="W275" s="16">
        <v>357</v>
      </c>
      <c r="X275" s="18">
        <v>357</v>
      </c>
      <c r="Y275" s="16">
        <f t="shared" si="56"/>
        <v>0</v>
      </c>
      <c r="Z275" s="16">
        <f t="shared" si="57"/>
        <v>423</v>
      </c>
      <c r="AA275" s="4">
        <v>0</v>
      </c>
      <c r="AB275" s="4">
        <v>0</v>
      </c>
      <c r="AC275" s="4">
        <v>45</v>
      </c>
      <c r="AD275" s="4">
        <v>0</v>
      </c>
      <c r="AE275" s="19">
        <v>45</v>
      </c>
      <c r="AF275" s="13">
        <f t="shared" si="58"/>
        <v>3</v>
      </c>
      <c r="AG275" s="20">
        <f t="shared" si="50"/>
        <v>46033</v>
      </c>
      <c r="AH275" s="24">
        <v>45</v>
      </c>
      <c r="AI275" s="24"/>
      <c r="AJ275" s="24"/>
      <c r="AK275" s="24"/>
      <c r="AL275" s="24"/>
      <c r="AM275" s="24"/>
      <c r="AN275" s="24"/>
      <c r="AO275" s="24"/>
      <c r="AP275" s="24">
        <v>45</v>
      </c>
      <c r="AQ275" s="24">
        <v>45</v>
      </c>
      <c r="AR275" s="24"/>
      <c r="AS275" s="24"/>
      <c r="AT275" s="24">
        <v>45</v>
      </c>
      <c r="AU275" s="24"/>
      <c r="AV275" s="24"/>
      <c r="AW275" s="24"/>
      <c r="AX275" s="24"/>
      <c r="AY275" s="13">
        <v>45</v>
      </c>
      <c r="AZ275" s="13"/>
      <c r="BA275" s="13">
        <v>45</v>
      </c>
      <c r="BB275" s="13"/>
      <c r="BC275" s="13"/>
      <c r="BD275" s="13">
        <v>18</v>
      </c>
      <c r="BE275" s="13">
        <v>45</v>
      </c>
      <c r="BF275" s="13"/>
      <c r="BG275" s="13"/>
      <c r="BH275" s="13">
        <v>45</v>
      </c>
      <c r="BI275" s="13"/>
      <c r="BJ275" s="13"/>
      <c r="BK275" s="13">
        <v>45</v>
      </c>
      <c r="BL275" s="13"/>
      <c r="BM275" s="13">
        <f t="shared" si="51"/>
        <v>45</v>
      </c>
      <c r="BN275" s="22">
        <f t="shared" si="52"/>
        <v>45</v>
      </c>
      <c r="BO275" s="23" t="str">
        <f t="shared" si="53"/>
        <v>ok</v>
      </c>
      <c r="BP275" s="22">
        <f t="shared" si="54"/>
        <v>357</v>
      </c>
      <c r="BQ275" s="22" t="str">
        <f t="shared" si="55"/>
        <v>ok</v>
      </c>
      <c r="BR275" s="56"/>
    </row>
    <row r="276" spans="1:70" s="12" customFormat="1" ht="24.95" customHeight="1" x14ac:dyDescent="0.25">
      <c r="A276" s="4" t="s">
        <v>569</v>
      </c>
      <c r="B276" s="15" t="s">
        <v>570</v>
      </c>
      <c r="C276" s="5">
        <v>70018</v>
      </c>
      <c r="D276" s="5" t="s">
        <v>733</v>
      </c>
      <c r="E276" s="16" t="s">
        <v>819</v>
      </c>
      <c r="F276" s="16">
        <v>2</v>
      </c>
      <c r="G276" s="16">
        <v>0</v>
      </c>
      <c r="H276" s="16" t="s">
        <v>27</v>
      </c>
      <c r="I276" s="16" t="s">
        <v>14</v>
      </c>
      <c r="J276" s="17"/>
      <c r="K276" s="17"/>
      <c r="L276" s="17"/>
      <c r="M276" s="17"/>
      <c r="N276" s="17"/>
      <c r="O276" s="13"/>
      <c r="P276" s="13"/>
      <c r="Q276" s="13">
        <v>11</v>
      </c>
      <c r="R276" s="6">
        <v>8</v>
      </c>
      <c r="S276" s="7">
        <v>0.09</v>
      </c>
      <c r="T276" s="62">
        <v>45</v>
      </c>
      <c r="U276" s="16">
        <v>221.4</v>
      </c>
      <c r="V276" s="16"/>
      <c r="W276" s="16">
        <v>268.5</v>
      </c>
      <c r="X276" s="18">
        <v>268.5</v>
      </c>
      <c r="Y276" s="16">
        <f t="shared" si="56"/>
        <v>0</v>
      </c>
      <c r="Z276" s="16">
        <f t="shared" si="57"/>
        <v>221.4</v>
      </c>
      <c r="AA276" s="4">
        <v>45</v>
      </c>
      <c r="AB276" s="4">
        <v>0</v>
      </c>
      <c r="AC276" s="4">
        <v>0</v>
      </c>
      <c r="AD276" s="4">
        <v>45</v>
      </c>
      <c r="AE276" s="32">
        <v>90</v>
      </c>
      <c r="AF276" s="13">
        <f t="shared" si="58"/>
        <v>3</v>
      </c>
      <c r="AG276" s="20">
        <f t="shared" si="50"/>
        <v>46034</v>
      </c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>
        <v>45</v>
      </c>
      <c r="AS276" s="13"/>
      <c r="AT276" s="13"/>
      <c r="AU276" s="13"/>
      <c r="AV276" s="21"/>
      <c r="AW276" s="13"/>
      <c r="AX276" s="13"/>
      <c r="AY276" s="13">
        <v>45</v>
      </c>
      <c r="AZ276" s="13">
        <v>45</v>
      </c>
      <c r="BA276" s="13"/>
      <c r="BB276" s="13"/>
      <c r="BC276" s="13"/>
      <c r="BD276" s="13"/>
      <c r="BE276" s="13">
        <v>41.4</v>
      </c>
      <c r="BF276" s="13"/>
      <c r="BG276" s="13"/>
      <c r="BH276" s="13"/>
      <c r="BI276" s="13"/>
      <c r="BJ276" s="13">
        <v>45</v>
      </c>
      <c r="BK276" s="13"/>
      <c r="BL276" s="13"/>
      <c r="BM276" s="13">
        <f t="shared" si="51"/>
        <v>0</v>
      </c>
      <c r="BN276" s="22">
        <f t="shared" si="52"/>
        <v>45</v>
      </c>
      <c r="BO276" s="23" t="str">
        <f t="shared" si="53"/>
        <v>ok</v>
      </c>
      <c r="BP276" s="22">
        <f t="shared" si="54"/>
        <v>268.5</v>
      </c>
      <c r="BQ276" s="22" t="str">
        <f t="shared" si="55"/>
        <v>ok</v>
      </c>
      <c r="BR276" s="56"/>
    </row>
    <row r="277" spans="1:70" s="12" customFormat="1" ht="24.95" customHeight="1" x14ac:dyDescent="0.25">
      <c r="A277" s="4" t="s">
        <v>571</v>
      </c>
      <c r="B277" s="15" t="s">
        <v>572</v>
      </c>
      <c r="C277" s="5">
        <v>70018</v>
      </c>
      <c r="D277" s="5" t="s">
        <v>733</v>
      </c>
      <c r="E277" s="16" t="s">
        <v>820</v>
      </c>
      <c r="F277" s="16">
        <v>2</v>
      </c>
      <c r="G277" s="16">
        <v>0</v>
      </c>
      <c r="H277" s="16" t="s">
        <v>27</v>
      </c>
      <c r="I277" s="16" t="s">
        <v>14</v>
      </c>
      <c r="J277" s="17"/>
      <c r="K277" s="17"/>
      <c r="L277" s="17"/>
      <c r="M277" s="17"/>
      <c r="N277" s="17"/>
      <c r="O277" s="13"/>
      <c r="P277" s="13"/>
      <c r="Q277" s="13">
        <v>37</v>
      </c>
      <c r="R277" s="6">
        <v>32</v>
      </c>
      <c r="S277" s="7">
        <v>0.09</v>
      </c>
      <c r="T277" s="62">
        <v>45</v>
      </c>
      <c r="U277" s="16">
        <v>12.6</v>
      </c>
      <c r="V277" s="16"/>
      <c r="W277" s="16">
        <v>36</v>
      </c>
      <c r="X277" s="18">
        <v>36</v>
      </c>
      <c r="Y277" s="16">
        <f t="shared" si="56"/>
        <v>0</v>
      </c>
      <c r="Z277" s="16">
        <f t="shared" si="57"/>
        <v>12.6</v>
      </c>
      <c r="AA277" s="4">
        <v>0</v>
      </c>
      <c r="AB277" s="4">
        <v>18</v>
      </c>
      <c r="AC277" s="4">
        <v>0</v>
      </c>
      <c r="AD277" s="4">
        <v>0</v>
      </c>
      <c r="AE277" s="19">
        <v>18</v>
      </c>
      <c r="AF277" s="13">
        <f t="shared" si="58"/>
        <v>3</v>
      </c>
      <c r="AG277" s="20">
        <f t="shared" si="50"/>
        <v>46032</v>
      </c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13"/>
      <c r="AZ277" s="13"/>
      <c r="BA277" s="13">
        <v>12.6</v>
      </c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>
        <f t="shared" si="51"/>
        <v>0</v>
      </c>
      <c r="BN277" s="22">
        <f t="shared" si="52"/>
        <v>12.6</v>
      </c>
      <c r="BO277" s="23" t="str">
        <f t="shared" si="53"/>
        <v>ok</v>
      </c>
      <c r="BP277" s="22">
        <f t="shared" si="54"/>
        <v>36</v>
      </c>
      <c r="BQ277" s="22" t="str">
        <f t="shared" si="55"/>
        <v>ok</v>
      </c>
      <c r="BR277" s="56"/>
    </row>
    <row r="278" spans="1:70" s="12" customFormat="1" ht="24.95" customHeight="1" x14ac:dyDescent="0.25">
      <c r="A278" s="4" t="s">
        <v>573</v>
      </c>
      <c r="B278" s="15" t="s">
        <v>574</v>
      </c>
      <c r="C278" s="5">
        <v>70018</v>
      </c>
      <c r="D278" s="5" t="s">
        <v>733</v>
      </c>
      <c r="E278" s="16" t="s">
        <v>822</v>
      </c>
      <c r="F278" s="16">
        <v>2</v>
      </c>
      <c r="G278" s="16">
        <v>0</v>
      </c>
      <c r="H278" s="16" t="s">
        <v>27</v>
      </c>
      <c r="I278" s="16" t="s">
        <v>14</v>
      </c>
      <c r="J278" s="17"/>
      <c r="K278" s="17"/>
      <c r="L278" s="17"/>
      <c r="M278" s="17"/>
      <c r="N278" s="17"/>
      <c r="O278" s="13"/>
      <c r="P278" s="13"/>
      <c r="Q278" s="13">
        <v>121</v>
      </c>
      <c r="R278" s="6">
        <v>105</v>
      </c>
      <c r="S278" s="7">
        <v>0.09</v>
      </c>
      <c r="T278" s="62">
        <v>45</v>
      </c>
      <c r="U278" s="16">
        <v>355.5</v>
      </c>
      <c r="V278" s="16"/>
      <c r="W278" s="16">
        <v>372</v>
      </c>
      <c r="X278" s="18">
        <v>372</v>
      </c>
      <c r="Y278" s="16">
        <f t="shared" si="56"/>
        <v>0</v>
      </c>
      <c r="Z278" s="16">
        <f t="shared" si="57"/>
        <v>355.5</v>
      </c>
      <c r="AA278" s="4">
        <v>90</v>
      </c>
      <c r="AB278" s="4">
        <v>135</v>
      </c>
      <c r="AC278" s="4">
        <v>0</v>
      </c>
      <c r="AD278" s="4">
        <v>24</v>
      </c>
      <c r="AE278" s="32">
        <v>249</v>
      </c>
      <c r="AF278" s="13">
        <f t="shared" si="58"/>
        <v>3</v>
      </c>
      <c r="AG278" s="20">
        <f t="shared" si="50"/>
        <v>46034</v>
      </c>
      <c r="AH278" s="13"/>
      <c r="AI278" s="13"/>
      <c r="AJ278" s="13"/>
      <c r="AK278" s="13">
        <v>45</v>
      </c>
      <c r="AL278" s="13"/>
      <c r="AM278" s="13"/>
      <c r="AN278" s="13">
        <v>45</v>
      </c>
      <c r="AO278" s="13"/>
      <c r="AP278" s="13"/>
      <c r="AQ278" s="13"/>
      <c r="AR278" s="13"/>
      <c r="AS278" s="13"/>
      <c r="AT278" s="13"/>
      <c r="AU278" s="13">
        <v>45</v>
      </c>
      <c r="AV278" s="21"/>
      <c r="AW278" s="13">
        <v>45</v>
      </c>
      <c r="AX278" s="13"/>
      <c r="AY278" s="13">
        <v>45</v>
      </c>
      <c r="AZ278" s="13"/>
      <c r="BA278" s="13"/>
      <c r="BB278" s="13"/>
      <c r="BC278" s="13"/>
      <c r="BD278" s="13">
        <v>45</v>
      </c>
      <c r="BE278" s="13"/>
      <c r="BF278" s="13"/>
      <c r="BG278" s="13">
        <v>45</v>
      </c>
      <c r="BH278" s="13"/>
      <c r="BI278" s="13">
        <v>40.5</v>
      </c>
      <c r="BJ278" s="13"/>
      <c r="BK278" s="13"/>
      <c r="BL278" s="13"/>
      <c r="BM278" s="13">
        <f t="shared" si="51"/>
        <v>0</v>
      </c>
      <c r="BN278" s="22">
        <f t="shared" si="52"/>
        <v>45</v>
      </c>
      <c r="BO278" s="23" t="str">
        <f t="shared" si="53"/>
        <v>ok</v>
      </c>
      <c r="BP278" s="22">
        <f t="shared" si="54"/>
        <v>372</v>
      </c>
      <c r="BQ278" s="22" t="str">
        <f t="shared" si="55"/>
        <v>ok</v>
      </c>
      <c r="BR278" s="56"/>
    </row>
    <row r="279" spans="1:70" s="12" customFormat="1" ht="24.95" customHeight="1" x14ac:dyDescent="0.25">
      <c r="A279" s="4" t="s">
        <v>575</v>
      </c>
      <c r="B279" s="15" t="s">
        <v>576</v>
      </c>
      <c r="C279" s="5">
        <v>70018</v>
      </c>
      <c r="D279" s="5" t="s">
        <v>733</v>
      </c>
      <c r="E279" s="16" t="s">
        <v>821</v>
      </c>
      <c r="F279" s="16">
        <v>2</v>
      </c>
      <c r="G279" s="16">
        <v>0</v>
      </c>
      <c r="H279" s="16" t="s">
        <v>27</v>
      </c>
      <c r="I279" s="16" t="s">
        <v>14</v>
      </c>
      <c r="J279" s="17"/>
      <c r="K279" s="17"/>
      <c r="L279" s="17"/>
      <c r="M279" s="17"/>
      <c r="N279" s="17"/>
      <c r="O279" s="13"/>
      <c r="P279" s="13"/>
      <c r="Q279" s="13">
        <v>11</v>
      </c>
      <c r="R279" s="6">
        <v>8</v>
      </c>
      <c r="S279" s="7">
        <v>0.09</v>
      </c>
      <c r="T279" s="62">
        <v>45</v>
      </c>
      <c r="U279" s="16">
        <v>216</v>
      </c>
      <c r="V279" s="16"/>
      <c r="W279" s="16">
        <v>130.5</v>
      </c>
      <c r="X279" s="18">
        <v>130.5</v>
      </c>
      <c r="Y279" s="16">
        <f t="shared" si="56"/>
        <v>0</v>
      </c>
      <c r="Z279" s="16">
        <f t="shared" si="57"/>
        <v>216</v>
      </c>
      <c r="AA279" s="4">
        <v>0</v>
      </c>
      <c r="AB279" s="4">
        <v>33</v>
      </c>
      <c r="AC279" s="4">
        <v>0</v>
      </c>
      <c r="AD279" s="4">
        <v>0</v>
      </c>
      <c r="AE279" s="19">
        <v>33</v>
      </c>
      <c r="AF279" s="13">
        <f t="shared" si="58"/>
        <v>3</v>
      </c>
      <c r="AG279" s="20">
        <f t="shared" si="50"/>
        <v>46032</v>
      </c>
      <c r="AH279" s="13">
        <v>45</v>
      </c>
      <c r="AI279" s="13"/>
      <c r="AJ279" s="13"/>
      <c r="AK279" s="13"/>
      <c r="AL279" s="13"/>
      <c r="AM279" s="13"/>
      <c r="AN279" s="13">
        <v>45</v>
      </c>
      <c r="AO279" s="13"/>
      <c r="AP279" s="13"/>
      <c r="AQ279" s="13">
        <v>45</v>
      </c>
      <c r="AR279" s="13"/>
      <c r="AS279" s="13"/>
      <c r="AT279" s="13">
        <v>45</v>
      </c>
      <c r="AU279" s="13"/>
      <c r="AV279" s="21"/>
      <c r="AW279" s="13"/>
      <c r="AX279" s="13"/>
      <c r="AY279" s="13"/>
      <c r="AZ279" s="13"/>
      <c r="BA279" s="13">
        <v>36</v>
      </c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>
        <f t="shared" si="51"/>
        <v>0</v>
      </c>
      <c r="BN279" s="22">
        <f t="shared" si="52"/>
        <v>45</v>
      </c>
      <c r="BO279" s="23" t="str">
        <f t="shared" si="53"/>
        <v>ok</v>
      </c>
      <c r="BP279" s="22">
        <f t="shared" si="54"/>
        <v>130.5</v>
      </c>
      <c r="BQ279" s="22" t="str">
        <f t="shared" si="55"/>
        <v>ok</v>
      </c>
      <c r="BR279" s="56"/>
    </row>
    <row r="280" spans="1:70" s="12" customFormat="1" ht="24.95" customHeight="1" x14ac:dyDescent="0.25">
      <c r="A280" s="4" t="s">
        <v>577</v>
      </c>
      <c r="B280" s="15" t="s">
        <v>578</v>
      </c>
      <c r="C280" s="5">
        <v>70018</v>
      </c>
      <c r="D280" s="5" t="s">
        <v>733</v>
      </c>
      <c r="E280" s="16" t="s">
        <v>824</v>
      </c>
      <c r="F280" s="16">
        <v>2</v>
      </c>
      <c r="G280" s="16">
        <v>0</v>
      </c>
      <c r="H280" s="16" t="s">
        <v>27</v>
      </c>
      <c r="I280" s="16" t="s">
        <v>14</v>
      </c>
      <c r="J280" s="17"/>
      <c r="K280" s="17"/>
      <c r="L280" s="17"/>
      <c r="M280" s="17"/>
      <c r="N280" s="17"/>
      <c r="O280" s="13"/>
      <c r="P280" s="13"/>
      <c r="Q280" s="13">
        <v>15</v>
      </c>
      <c r="R280" s="6">
        <v>12</v>
      </c>
      <c r="S280" s="7">
        <v>0.09</v>
      </c>
      <c r="T280" s="62">
        <v>45</v>
      </c>
      <c r="U280" s="16">
        <v>643.5</v>
      </c>
      <c r="V280" s="16"/>
      <c r="W280" s="16">
        <v>277.5</v>
      </c>
      <c r="X280" s="18">
        <v>277.5</v>
      </c>
      <c r="Y280" s="16">
        <f t="shared" si="56"/>
        <v>0</v>
      </c>
      <c r="Z280" s="16">
        <f t="shared" si="57"/>
        <v>643.5</v>
      </c>
      <c r="AA280" s="4">
        <v>45</v>
      </c>
      <c r="AB280" s="4">
        <v>0</v>
      </c>
      <c r="AC280" s="4">
        <v>0</v>
      </c>
      <c r="AD280" s="4">
        <v>0</v>
      </c>
      <c r="AE280" s="32">
        <v>45</v>
      </c>
      <c r="AF280" s="13">
        <f t="shared" si="58"/>
        <v>3</v>
      </c>
      <c r="AG280" s="20">
        <f t="shared" si="50"/>
        <v>46031</v>
      </c>
      <c r="AH280" s="13">
        <v>45</v>
      </c>
      <c r="AI280" s="13"/>
      <c r="AJ280" s="13"/>
      <c r="AK280" s="13">
        <v>45</v>
      </c>
      <c r="AL280" s="13">
        <v>45</v>
      </c>
      <c r="AM280" s="13"/>
      <c r="AN280" s="13"/>
      <c r="AO280" s="13"/>
      <c r="AP280" s="13">
        <v>45</v>
      </c>
      <c r="AQ280" s="13">
        <v>45</v>
      </c>
      <c r="AR280" s="13"/>
      <c r="AS280" s="13">
        <v>45</v>
      </c>
      <c r="AT280" s="13">
        <v>45</v>
      </c>
      <c r="AU280" s="13"/>
      <c r="AV280" s="21"/>
      <c r="AW280" s="13">
        <v>45</v>
      </c>
      <c r="AX280" s="13">
        <v>45</v>
      </c>
      <c r="AY280" s="13">
        <v>45</v>
      </c>
      <c r="AZ280" s="13"/>
      <c r="BA280" s="13">
        <v>45</v>
      </c>
      <c r="BB280" s="13"/>
      <c r="BC280" s="13">
        <v>45</v>
      </c>
      <c r="BD280" s="13">
        <v>45</v>
      </c>
      <c r="BE280" s="13"/>
      <c r="BF280" s="13"/>
      <c r="BG280" s="13"/>
      <c r="BH280" s="13"/>
      <c r="BI280" s="13">
        <v>13.5</v>
      </c>
      <c r="BJ280" s="13"/>
      <c r="BK280" s="13">
        <v>45</v>
      </c>
      <c r="BL280" s="13"/>
      <c r="BM280" s="13">
        <f t="shared" si="51"/>
        <v>45</v>
      </c>
      <c r="BN280" s="22">
        <f t="shared" si="52"/>
        <v>45</v>
      </c>
      <c r="BO280" s="23" t="str">
        <f t="shared" si="53"/>
        <v>ok</v>
      </c>
      <c r="BP280" s="22">
        <f t="shared" si="54"/>
        <v>277.5</v>
      </c>
      <c r="BQ280" s="22" t="str">
        <f t="shared" si="55"/>
        <v>ok</v>
      </c>
      <c r="BR280" s="56"/>
    </row>
    <row r="281" spans="1:70" s="12" customFormat="1" ht="24.95" customHeight="1" x14ac:dyDescent="0.25">
      <c r="A281" s="4" t="s">
        <v>579</v>
      </c>
      <c r="B281" s="15" t="s">
        <v>580</v>
      </c>
      <c r="C281" s="5">
        <v>70018</v>
      </c>
      <c r="D281" s="5" t="s">
        <v>733</v>
      </c>
      <c r="E281" s="16" t="s">
        <v>823</v>
      </c>
      <c r="F281" s="16">
        <v>2</v>
      </c>
      <c r="G281" s="16">
        <v>0</v>
      </c>
      <c r="H281" s="16" t="s">
        <v>27</v>
      </c>
      <c r="I281" s="16" t="s">
        <v>14</v>
      </c>
      <c r="J281" s="17"/>
      <c r="K281" s="17"/>
      <c r="L281" s="17"/>
      <c r="M281" s="17"/>
      <c r="N281" s="17"/>
      <c r="O281" s="13"/>
      <c r="P281" s="13"/>
      <c r="Q281" s="13">
        <v>13</v>
      </c>
      <c r="R281" s="6">
        <v>10</v>
      </c>
      <c r="S281" s="7">
        <v>0.09</v>
      </c>
      <c r="T281" s="62">
        <v>45</v>
      </c>
      <c r="U281" s="16">
        <v>315</v>
      </c>
      <c r="V281" s="16"/>
      <c r="W281" s="16">
        <v>268.5</v>
      </c>
      <c r="X281" s="18">
        <v>268.5</v>
      </c>
      <c r="Y281" s="16">
        <f t="shared" si="56"/>
        <v>0</v>
      </c>
      <c r="Z281" s="16">
        <f t="shared" si="57"/>
        <v>315</v>
      </c>
      <c r="AA281" s="4">
        <v>75</v>
      </c>
      <c r="AB281" s="4">
        <v>45</v>
      </c>
      <c r="AC281" s="4">
        <v>45</v>
      </c>
      <c r="AD281" s="4">
        <v>45</v>
      </c>
      <c r="AE281" s="19">
        <v>210</v>
      </c>
      <c r="AF281" s="13">
        <f t="shared" si="58"/>
        <v>3</v>
      </c>
      <c r="AG281" s="20">
        <f t="shared" si="50"/>
        <v>46034</v>
      </c>
      <c r="AH281" s="24"/>
      <c r="AI281" s="24"/>
      <c r="AJ281" s="24"/>
      <c r="AK281" s="24">
        <v>45</v>
      </c>
      <c r="AL281" s="24"/>
      <c r="AM281" s="24"/>
      <c r="AN281" s="24">
        <v>45</v>
      </c>
      <c r="AO281" s="24"/>
      <c r="AP281" s="24"/>
      <c r="AQ281" s="24">
        <v>45</v>
      </c>
      <c r="AR281" s="24"/>
      <c r="AS281" s="24"/>
      <c r="AT281" s="24">
        <v>45</v>
      </c>
      <c r="AU281" s="24"/>
      <c r="AV281" s="24"/>
      <c r="AW281" s="24">
        <v>45</v>
      </c>
      <c r="AX281" s="24"/>
      <c r="AY281" s="13">
        <v>45</v>
      </c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>
        <v>45</v>
      </c>
      <c r="BL281" s="13"/>
      <c r="BM281" s="13">
        <f t="shared" si="51"/>
        <v>45</v>
      </c>
      <c r="BN281" s="22">
        <f t="shared" si="52"/>
        <v>45</v>
      </c>
      <c r="BO281" s="23" t="str">
        <f t="shared" si="53"/>
        <v>ok</v>
      </c>
      <c r="BP281" s="22">
        <f t="shared" si="54"/>
        <v>268.5</v>
      </c>
      <c r="BQ281" s="22" t="str">
        <f t="shared" si="55"/>
        <v>ok</v>
      </c>
      <c r="BR281" s="56"/>
    </row>
    <row r="282" spans="1:70" s="12" customFormat="1" ht="24.95" customHeight="1" x14ac:dyDescent="0.25">
      <c r="A282" s="4" t="s">
        <v>581</v>
      </c>
      <c r="B282" s="15" t="s">
        <v>582</v>
      </c>
      <c r="C282" s="5">
        <v>70018</v>
      </c>
      <c r="D282" s="5" t="s">
        <v>733</v>
      </c>
      <c r="E282" s="16" t="s">
        <v>826</v>
      </c>
      <c r="F282" s="16">
        <v>3</v>
      </c>
      <c r="G282" s="16">
        <v>0</v>
      </c>
      <c r="H282" s="16" t="s">
        <v>27</v>
      </c>
      <c r="I282" s="16" t="s">
        <v>14</v>
      </c>
      <c r="J282" s="17"/>
      <c r="K282" s="17"/>
      <c r="L282" s="17"/>
      <c r="M282" s="17"/>
      <c r="N282" s="17"/>
      <c r="O282" s="13"/>
      <c r="P282" s="13"/>
      <c r="Q282" s="13">
        <v>28</v>
      </c>
      <c r="R282" s="6">
        <v>24</v>
      </c>
      <c r="S282" s="7">
        <v>0.09</v>
      </c>
      <c r="T282" s="62">
        <v>45</v>
      </c>
      <c r="U282" s="16">
        <v>586.80000000000007</v>
      </c>
      <c r="V282" s="16"/>
      <c r="W282" s="16">
        <v>447</v>
      </c>
      <c r="X282" s="18">
        <v>447</v>
      </c>
      <c r="Y282" s="16">
        <f t="shared" si="56"/>
        <v>-1.8000000000000682</v>
      </c>
      <c r="Z282" s="16">
        <f t="shared" si="57"/>
        <v>585</v>
      </c>
      <c r="AA282" s="4">
        <v>90</v>
      </c>
      <c r="AB282" s="4">
        <v>45</v>
      </c>
      <c r="AC282" s="4">
        <v>45</v>
      </c>
      <c r="AD282" s="4">
        <v>90</v>
      </c>
      <c r="AE282" s="32">
        <v>270</v>
      </c>
      <c r="AF282" s="13">
        <f t="shared" si="58"/>
        <v>3</v>
      </c>
      <c r="AG282" s="20">
        <f t="shared" si="50"/>
        <v>46034</v>
      </c>
      <c r="AH282" s="24"/>
      <c r="AI282" s="24">
        <v>45</v>
      </c>
      <c r="AJ282" s="24"/>
      <c r="AK282" s="24"/>
      <c r="AL282" s="24">
        <v>45</v>
      </c>
      <c r="AM282" s="24"/>
      <c r="AN282" s="24">
        <v>45</v>
      </c>
      <c r="AO282" s="24"/>
      <c r="AP282" s="24"/>
      <c r="AQ282" s="24"/>
      <c r="AR282" s="24">
        <v>45</v>
      </c>
      <c r="AS282" s="24">
        <v>45</v>
      </c>
      <c r="AT282" s="24"/>
      <c r="AU282" s="24"/>
      <c r="AV282" s="24"/>
      <c r="AW282" s="24"/>
      <c r="AX282" s="24">
        <v>45</v>
      </c>
      <c r="AY282" s="13"/>
      <c r="AZ282" s="13"/>
      <c r="BA282" s="13"/>
      <c r="BB282" s="13"/>
      <c r="BC282" s="13"/>
      <c r="BD282" s="13">
        <v>45</v>
      </c>
      <c r="BE282" s="13"/>
      <c r="BF282" s="13">
        <v>45</v>
      </c>
      <c r="BG282" s="13">
        <v>45</v>
      </c>
      <c r="BH282" s="13">
        <v>45</v>
      </c>
      <c r="BI282" s="13">
        <v>45</v>
      </c>
      <c r="BJ282" s="13">
        <v>45</v>
      </c>
      <c r="BK282" s="13"/>
      <c r="BL282" s="13">
        <v>45</v>
      </c>
      <c r="BM282" s="13">
        <f t="shared" si="51"/>
        <v>46.800000000000068</v>
      </c>
      <c r="BN282" s="22">
        <f t="shared" si="52"/>
        <v>45</v>
      </c>
      <c r="BO282" s="23" t="str">
        <f t="shared" si="53"/>
        <v>ok</v>
      </c>
      <c r="BP282" s="22">
        <f t="shared" si="54"/>
        <v>447</v>
      </c>
      <c r="BQ282" s="22" t="str">
        <f t="shared" si="55"/>
        <v>ok</v>
      </c>
      <c r="BR282" s="56" t="s">
        <v>28</v>
      </c>
    </row>
    <row r="283" spans="1:70" s="12" customFormat="1" ht="24.95" customHeight="1" x14ac:dyDescent="0.25">
      <c r="A283" s="4" t="s">
        <v>583</v>
      </c>
      <c r="B283" s="15" t="s">
        <v>584</v>
      </c>
      <c r="C283" s="5">
        <v>70018</v>
      </c>
      <c r="D283" s="5" t="s">
        <v>733</v>
      </c>
      <c r="E283" s="16" t="s">
        <v>827</v>
      </c>
      <c r="F283" s="16">
        <v>2</v>
      </c>
      <c r="G283" s="16">
        <v>0</v>
      </c>
      <c r="H283" s="16" t="s">
        <v>27</v>
      </c>
      <c r="I283" s="16" t="s">
        <v>14</v>
      </c>
      <c r="J283" s="17"/>
      <c r="K283" s="17"/>
      <c r="L283" s="17"/>
      <c r="M283" s="17"/>
      <c r="N283" s="17"/>
      <c r="O283" s="13"/>
      <c r="P283" s="13"/>
      <c r="Q283" s="13">
        <v>100</v>
      </c>
      <c r="R283" s="6">
        <v>9</v>
      </c>
      <c r="S283" s="7">
        <v>0.08</v>
      </c>
      <c r="T283" s="62">
        <v>45</v>
      </c>
      <c r="U283" s="16">
        <v>19.8</v>
      </c>
      <c r="V283" s="16"/>
      <c r="W283" s="16">
        <v>97.5</v>
      </c>
      <c r="X283" s="18">
        <v>97.5</v>
      </c>
      <c r="Y283" s="16">
        <f t="shared" si="56"/>
        <v>0</v>
      </c>
      <c r="Z283" s="16">
        <f t="shared" si="57"/>
        <v>19.8</v>
      </c>
      <c r="AA283" s="4">
        <v>0</v>
      </c>
      <c r="AB283" s="4">
        <v>0</v>
      </c>
      <c r="AC283" s="4">
        <v>0</v>
      </c>
      <c r="AD283" s="4">
        <v>0</v>
      </c>
      <c r="AE283" s="19">
        <v>0</v>
      </c>
      <c r="AF283" s="13">
        <f t="shared" si="58"/>
        <v>3</v>
      </c>
      <c r="AG283" s="20">
        <f t="shared" si="50"/>
        <v>46031</v>
      </c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>
        <v>19.8</v>
      </c>
      <c r="AV283" s="21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>
        <f t="shared" si="51"/>
        <v>0</v>
      </c>
      <c r="BN283" s="22">
        <f t="shared" si="52"/>
        <v>19.8</v>
      </c>
      <c r="BO283" s="23" t="str">
        <f t="shared" si="53"/>
        <v>ok</v>
      </c>
      <c r="BP283" s="22">
        <f t="shared" si="54"/>
        <v>97.5</v>
      </c>
      <c r="BQ283" s="22" t="str">
        <f t="shared" si="55"/>
        <v>ok</v>
      </c>
      <c r="BR283" s="56"/>
    </row>
    <row r="284" spans="1:70" s="12" customFormat="1" ht="24.95" customHeight="1" x14ac:dyDescent="0.25">
      <c r="A284" s="4" t="s">
        <v>585</v>
      </c>
      <c r="B284" s="15" t="s">
        <v>586</v>
      </c>
      <c r="C284" s="5">
        <v>70018</v>
      </c>
      <c r="D284" s="5" t="s">
        <v>733</v>
      </c>
      <c r="E284" s="16" t="s">
        <v>829</v>
      </c>
      <c r="F284" s="16">
        <v>2</v>
      </c>
      <c r="G284" s="16">
        <v>0</v>
      </c>
      <c r="H284" s="16" t="s">
        <v>27</v>
      </c>
      <c r="I284" s="16" t="s">
        <v>14</v>
      </c>
      <c r="J284" s="17"/>
      <c r="K284" s="17"/>
      <c r="L284" s="17"/>
      <c r="M284" s="17"/>
      <c r="N284" s="17"/>
      <c r="O284" s="13"/>
      <c r="P284" s="13"/>
      <c r="Q284" s="13">
        <v>33</v>
      </c>
      <c r="R284" s="6">
        <v>29</v>
      </c>
      <c r="S284" s="7">
        <v>0.09</v>
      </c>
      <c r="T284" s="62">
        <v>45</v>
      </c>
      <c r="U284" s="16">
        <v>162</v>
      </c>
      <c r="V284" s="16"/>
      <c r="W284" s="16">
        <v>385.5</v>
      </c>
      <c r="X284" s="18">
        <v>385.5</v>
      </c>
      <c r="Y284" s="16">
        <f t="shared" si="56"/>
        <v>0</v>
      </c>
      <c r="Z284" s="16">
        <f t="shared" si="57"/>
        <v>162</v>
      </c>
      <c r="AA284" s="4">
        <v>70</v>
      </c>
      <c r="AB284" s="4">
        <v>45</v>
      </c>
      <c r="AC284" s="4">
        <v>45</v>
      </c>
      <c r="AD284" s="4">
        <v>90</v>
      </c>
      <c r="AE284" s="32">
        <v>250</v>
      </c>
      <c r="AF284" s="13">
        <f t="shared" si="58"/>
        <v>3</v>
      </c>
      <c r="AG284" s="20">
        <f t="shared" si="50"/>
        <v>46034</v>
      </c>
      <c r="AH284" s="13"/>
      <c r="AI284" s="13"/>
      <c r="AJ284" s="13"/>
      <c r="AK284" s="13"/>
      <c r="AL284" s="13"/>
      <c r="AM284" s="13">
        <v>27</v>
      </c>
      <c r="AN284" s="13"/>
      <c r="AO284" s="13"/>
      <c r="AP284" s="13">
        <v>45</v>
      </c>
      <c r="AQ284" s="13"/>
      <c r="AR284" s="13"/>
      <c r="AS284" s="13"/>
      <c r="AT284" s="13"/>
      <c r="AU284" s="13">
        <v>45</v>
      </c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>
        <v>45</v>
      </c>
      <c r="BG284" s="13"/>
      <c r="BH284" s="13"/>
      <c r="BI284" s="13"/>
      <c r="BJ284" s="13"/>
      <c r="BK284" s="13"/>
      <c r="BL284" s="13"/>
      <c r="BM284" s="13">
        <f t="shared" si="51"/>
        <v>0</v>
      </c>
      <c r="BN284" s="22">
        <f t="shared" si="52"/>
        <v>45</v>
      </c>
      <c r="BO284" s="23" t="str">
        <f t="shared" si="53"/>
        <v>ok</v>
      </c>
      <c r="BP284" s="22">
        <f t="shared" si="54"/>
        <v>385.5</v>
      </c>
      <c r="BQ284" s="22" t="str">
        <f t="shared" si="55"/>
        <v>ok</v>
      </c>
      <c r="BR284" s="56"/>
    </row>
    <row r="285" spans="1:70" s="12" customFormat="1" ht="24.95" customHeight="1" x14ac:dyDescent="0.25">
      <c r="A285" s="4" t="s">
        <v>587</v>
      </c>
      <c r="B285" s="15" t="s">
        <v>588</v>
      </c>
      <c r="C285" s="5">
        <v>70018</v>
      </c>
      <c r="D285" s="5" t="s">
        <v>733</v>
      </c>
      <c r="E285" s="16" t="s">
        <v>830</v>
      </c>
      <c r="F285" s="16">
        <v>2</v>
      </c>
      <c r="G285" s="16">
        <v>0</v>
      </c>
      <c r="H285" s="16" t="s">
        <v>27</v>
      </c>
      <c r="I285" s="16" t="s">
        <v>14</v>
      </c>
      <c r="J285" s="17"/>
      <c r="K285" s="17"/>
      <c r="L285" s="17"/>
      <c r="M285" s="17"/>
      <c r="N285" s="17"/>
      <c r="O285" s="13"/>
      <c r="P285" s="13"/>
      <c r="Q285" s="13">
        <v>18</v>
      </c>
      <c r="R285" s="6">
        <v>15</v>
      </c>
      <c r="S285" s="7">
        <v>0.09</v>
      </c>
      <c r="T285" s="62">
        <v>45</v>
      </c>
      <c r="U285" s="16">
        <v>623.70000000000005</v>
      </c>
      <c r="V285" s="16"/>
      <c r="W285" s="16">
        <v>642</v>
      </c>
      <c r="X285" s="18">
        <v>642</v>
      </c>
      <c r="Y285" s="16">
        <f t="shared" si="56"/>
        <v>0</v>
      </c>
      <c r="Z285" s="16">
        <f t="shared" si="57"/>
        <v>623.70000000000005</v>
      </c>
      <c r="AA285" s="4">
        <v>90</v>
      </c>
      <c r="AB285" s="4">
        <v>45</v>
      </c>
      <c r="AC285" s="4">
        <v>135</v>
      </c>
      <c r="AD285" s="4">
        <v>90</v>
      </c>
      <c r="AE285" s="19">
        <v>360</v>
      </c>
      <c r="AF285" s="13">
        <f t="shared" si="58"/>
        <v>3</v>
      </c>
      <c r="AG285" s="20">
        <f t="shared" si="50"/>
        <v>46034</v>
      </c>
      <c r="AH285" s="13">
        <v>45</v>
      </c>
      <c r="AI285" s="13"/>
      <c r="AJ285" s="13"/>
      <c r="AK285" s="13">
        <v>45</v>
      </c>
      <c r="AL285" s="13"/>
      <c r="AM285" s="13"/>
      <c r="AN285" s="13"/>
      <c r="AO285" s="13"/>
      <c r="AP285" s="13">
        <v>45</v>
      </c>
      <c r="AQ285" s="13">
        <v>45</v>
      </c>
      <c r="AR285" s="13"/>
      <c r="AS285" s="13">
        <v>38.700000000000003</v>
      </c>
      <c r="AT285" s="13">
        <v>45</v>
      </c>
      <c r="AU285" s="13"/>
      <c r="AV285" s="21"/>
      <c r="AW285" s="13">
        <v>45</v>
      </c>
      <c r="AX285" s="13"/>
      <c r="AY285" s="13">
        <v>45</v>
      </c>
      <c r="AZ285" s="13">
        <v>45</v>
      </c>
      <c r="BA285" s="13">
        <v>45</v>
      </c>
      <c r="BB285" s="13">
        <v>45</v>
      </c>
      <c r="BC285" s="13">
        <v>45</v>
      </c>
      <c r="BD285" s="13"/>
      <c r="BE285" s="13">
        <v>45</v>
      </c>
      <c r="BF285" s="13"/>
      <c r="BG285" s="13"/>
      <c r="BH285" s="13"/>
      <c r="BI285" s="13"/>
      <c r="BJ285" s="13"/>
      <c r="BK285" s="13">
        <v>45</v>
      </c>
      <c r="BL285" s="13"/>
      <c r="BM285" s="13">
        <f t="shared" si="51"/>
        <v>45</v>
      </c>
      <c r="BN285" s="22">
        <f t="shared" si="52"/>
        <v>45</v>
      </c>
      <c r="BO285" s="23" t="str">
        <f t="shared" si="53"/>
        <v>ok</v>
      </c>
      <c r="BP285" s="22">
        <f t="shared" si="54"/>
        <v>642</v>
      </c>
      <c r="BQ285" s="22" t="str">
        <f t="shared" si="55"/>
        <v>ok</v>
      </c>
      <c r="BR285" s="56"/>
    </row>
    <row r="286" spans="1:70" s="12" customFormat="1" ht="24.95" customHeight="1" x14ac:dyDescent="0.25">
      <c r="A286" s="4" t="s">
        <v>589</v>
      </c>
      <c r="B286" s="15" t="s">
        <v>590</v>
      </c>
      <c r="C286" s="5">
        <v>70018</v>
      </c>
      <c r="D286" s="5" t="s">
        <v>733</v>
      </c>
      <c r="E286" s="16" t="s">
        <v>828</v>
      </c>
      <c r="F286" s="16">
        <v>2</v>
      </c>
      <c r="G286" s="16">
        <v>0</v>
      </c>
      <c r="H286" s="16" t="s">
        <v>27</v>
      </c>
      <c r="I286" s="16" t="s">
        <v>14</v>
      </c>
      <c r="J286" s="17"/>
      <c r="K286" s="17"/>
      <c r="L286" s="17"/>
      <c r="M286" s="17"/>
      <c r="N286" s="17"/>
      <c r="O286" s="13"/>
      <c r="P286" s="13"/>
      <c r="Q286" s="13">
        <v>58</v>
      </c>
      <c r="R286" s="6">
        <v>50</v>
      </c>
      <c r="S286" s="7">
        <v>0.09</v>
      </c>
      <c r="T286" s="62">
        <v>45</v>
      </c>
      <c r="U286" s="16">
        <v>404.1</v>
      </c>
      <c r="V286" s="16"/>
      <c r="W286" s="16">
        <v>222</v>
      </c>
      <c r="X286" s="18">
        <v>222</v>
      </c>
      <c r="Y286" s="16">
        <f t="shared" si="56"/>
        <v>0</v>
      </c>
      <c r="Z286" s="16">
        <f t="shared" si="57"/>
        <v>404.1</v>
      </c>
      <c r="AA286" s="4">
        <v>45</v>
      </c>
      <c r="AB286" s="4">
        <v>0</v>
      </c>
      <c r="AC286" s="4">
        <v>58</v>
      </c>
      <c r="AD286" s="4">
        <v>0</v>
      </c>
      <c r="AE286" s="32">
        <v>103</v>
      </c>
      <c r="AF286" s="13">
        <f t="shared" si="58"/>
        <v>3</v>
      </c>
      <c r="AG286" s="20">
        <f t="shared" si="50"/>
        <v>46033</v>
      </c>
      <c r="AH286" s="13"/>
      <c r="AI286" s="13">
        <v>45</v>
      </c>
      <c r="AJ286" s="13">
        <v>45</v>
      </c>
      <c r="AK286" s="13"/>
      <c r="AL286" s="13"/>
      <c r="AM286" s="13">
        <v>45</v>
      </c>
      <c r="AN286" s="13"/>
      <c r="AO286" s="13">
        <v>45</v>
      </c>
      <c r="AP286" s="13"/>
      <c r="AQ286" s="13"/>
      <c r="AR286" s="13"/>
      <c r="AS286" s="13"/>
      <c r="AT286" s="13"/>
      <c r="AU286" s="13">
        <v>45</v>
      </c>
      <c r="AV286" s="21">
        <v>45</v>
      </c>
      <c r="AW286" s="13"/>
      <c r="AX286" s="13"/>
      <c r="AY286" s="13"/>
      <c r="AZ286" s="13">
        <v>45</v>
      </c>
      <c r="BA286" s="13"/>
      <c r="BB286" s="13"/>
      <c r="BC286" s="13"/>
      <c r="BD286" s="13"/>
      <c r="BE286" s="13">
        <v>45</v>
      </c>
      <c r="BF286" s="13"/>
      <c r="BG286" s="13"/>
      <c r="BH286" s="13"/>
      <c r="BI286" s="13"/>
      <c r="BJ286" s="13"/>
      <c r="BK286" s="13"/>
      <c r="BL286" s="13">
        <v>44.1</v>
      </c>
      <c r="BM286" s="13">
        <f t="shared" si="51"/>
        <v>44.100000000000023</v>
      </c>
      <c r="BN286" s="22">
        <f t="shared" si="52"/>
        <v>45</v>
      </c>
      <c r="BO286" s="23" t="str">
        <f t="shared" si="53"/>
        <v>ok</v>
      </c>
      <c r="BP286" s="22">
        <f t="shared" si="54"/>
        <v>222</v>
      </c>
      <c r="BQ286" s="22" t="str">
        <f t="shared" si="55"/>
        <v>ok</v>
      </c>
      <c r="BR286" s="56"/>
    </row>
    <row r="287" spans="1:70" s="12" customFormat="1" ht="24.95" customHeight="1" x14ac:dyDescent="0.25">
      <c r="A287" s="4" t="s">
        <v>591</v>
      </c>
      <c r="B287" s="15" t="s">
        <v>592</v>
      </c>
      <c r="C287" s="5">
        <v>70018</v>
      </c>
      <c r="D287" s="5" t="s">
        <v>733</v>
      </c>
      <c r="E287" s="16" t="s">
        <v>834</v>
      </c>
      <c r="F287" s="16">
        <v>2</v>
      </c>
      <c r="G287" s="16">
        <v>0</v>
      </c>
      <c r="H287" s="16" t="s">
        <v>27</v>
      </c>
      <c r="I287" s="16" t="s">
        <v>14</v>
      </c>
      <c r="J287" s="17"/>
      <c r="K287" s="17"/>
      <c r="L287" s="17"/>
      <c r="M287" s="17"/>
      <c r="N287" s="17"/>
      <c r="O287" s="13"/>
      <c r="P287" s="13"/>
      <c r="Q287" s="13">
        <v>45</v>
      </c>
      <c r="R287" s="6">
        <v>39</v>
      </c>
      <c r="S287" s="7">
        <v>0.09</v>
      </c>
      <c r="T287" s="62">
        <v>45</v>
      </c>
      <c r="U287" s="16">
        <v>385.2</v>
      </c>
      <c r="V287" s="16"/>
      <c r="W287" s="16">
        <v>673.5</v>
      </c>
      <c r="X287" s="18">
        <v>673.5</v>
      </c>
      <c r="Y287" s="16">
        <f t="shared" si="56"/>
        <v>0</v>
      </c>
      <c r="Z287" s="16">
        <f t="shared" si="57"/>
        <v>385.2</v>
      </c>
      <c r="AA287" s="4">
        <v>45</v>
      </c>
      <c r="AB287" s="4">
        <v>90</v>
      </c>
      <c r="AC287" s="4">
        <v>0</v>
      </c>
      <c r="AD287" s="4">
        <v>90</v>
      </c>
      <c r="AE287" s="19">
        <v>225</v>
      </c>
      <c r="AF287" s="13">
        <f t="shared" si="58"/>
        <v>3</v>
      </c>
      <c r="AG287" s="20">
        <f t="shared" si="50"/>
        <v>46034</v>
      </c>
      <c r="AH287" s="24"/>
      <c r="AI287" s="24">
        <v>45</v>
      </c>
      <c r="AJ287" s="24">
        <v>45</v>
      </c>
      <c r="AK287" s="24"/>
      <c r="AL287" s="24">
        <v>45</v>
      </c>
      <c r="AM287" s="24">
        <v>45</v>
      </c>
      <c r="AN287" s="24"/>
      <c r="AO287" s="24">
        <v>45</v>
      </c>
      <c r="AP287" s="24"/>
      <c r="AQ287" s="24"/>
      <c r="AR287" s="24"/>
      <c r="AS287" s="24">
        <v>45</v>
      </c>
      <c r="AT287" s="24"/>
      <c r="AU287" s="24">
        <v>25.2</v>
      </c>
      <c r="AV287" s="24"/>
      <c r="AW287" s="24"/>
      <c r="AX287" s="24"/>
      <c r="AY287" s="13"/>
      <c r="AZ287" s="13"/>
      <c r="BA287" s="13"/>
      <c r="BB287" s="13">
        <v>45</v>
      </c>
      <c r="BC287" s="13">
        <v>45</v>
      </c>
      <c r="BD287" s="13"/>
      <c r="BE287" s="13"/>
      <c r="BF287" s="13"/>
      <c r="BG287" s="13"/>
      <c r="BH287" s="13"/>
      <c r="BI287" s="13"/>
      <c r="BJ287" s="13"/>
      <c r="BK287" s="13"/>
      <c r="BL287" s="13"/>
      <c r="BM287" s="13">
        <f t="shared" si="51"/>
        <v>0</v>
      </c>
      <c r="BN287" s="22">
        <f t="shared" si="52"/>
        <v>45</v>
      </c>
      <c r="BO287" s="23" t="str">
        <f t="shared" si="53"/>
        <v>ok</v>
      </c>
      <c r="BP287" s="22">
        <f t="shared" si="54"/>
        <v>673.5</v>
      </c>
      <c r="BQ287" s="22" t="str">
        <f t="shared" si="55"/>
        <v>ok</v>
      </c>
      <c r="BR287" s="56"/>
    </row>
    <row r="288" spans="1:70" s="12" customFormat="1" ht="24.95" customHeight="1" x14ac:dyDescent="0.25">
      <c r="A288" s="4" t="s">
        <v>593</v>
      </c>
      <c r="B288" s="15" t="s">
        <v>594</v>
      </c>
      <c r="C288" s="5">
        <v>70018</v>
      </c>
      <c r="D288" s="5" t="s">
        <v>733</v>
      </c>
      <c r="E288" s="16" t="s">
        <v>831</v>
      </c>
      <c r="F288" s="16">
        <v>2</v>
      </c>
      <c r="G288" s="16">
        <v>1</v>
      </c>
      <c r="H288" s="16" t="s">
        <v>27</v>
      </c>
      <c r="I288" s="16" t="s">
        <v>14</v>
      </c>
      <c r="J288" s="17"/>
      <c r="K288" s="17"/>
      <c r="L288" s="17"/>
      <c r="M288" s="17"/>
      <c r="N288" s="17"/>
      <c r="O288" s="13"/>
      <c r="P288" s="13"/>
      <c r="Q288" s="13">
        <v>11</v>
      </c>
      <c r="R288" s="6">
        <v>8</v>
      </c>
      <c r="S288" s="7">
        <v>0.09</v>
      </c>
      <c r="T288" s="62">
        <v>45</v>
      </c>
      <c r="U288" s="16">
        <v>945</v>
      </c>
      <c r="V288" s="16"/>
      <c r="W288" s="16">
        <v>639</v>
      </c>
      <c r="X288" s="18">
        <v>639</v>
      </c>
      <c r="Y288" s="16">
        <f t="shared" si="56"/>
        <v>0</v>
      </c>
      <c r="Z288" s="16">
        <f t="shared" si="57"/>
        <v>945</v>
      </c>
      <c r="AA288" s="4">
        <v>90</v>
      </c>
      <c r="AB288" s="4">
        <v>90</v>
      </c>
      <c r="AC288" s="4">
        <v>90</v>
      </c>
      <c r="AD288" s="4">
        <v>135</v>
      </c>
      <c r="AE288" s="32">
        <v>405</v>
      </c>
      <c r="AF288" s="13">
        <f t="shared" si="58"/>
        <v>3</v>
      </c>
      <c r="AG288" s="20">
        <f t="shared" si="50"/>
        <v>46034</v>
      </c>
      <c r="AH288" s="13"/>
      <c r="AI288" s="13">
        <v>45</v>
      </c>
      <c r="AJ288" s="13">
        <v>45</v>
      </c>
      <c r="AK288" s="13">
        <v>45</v>
      </c>
      <c r="AL288" s="13"/>
      <c r="AM288" s="13">
        <v>45</v>
      </c>
      <c r="AN288" s="13">
        <v>45</v>
      </c>
      <c r="AO288" s="13">
        <v>45</v>
      </c>
      <c r="AP288" s="13"/>
      <c r="AQ288" s="13"/>
      <c r="AR288" s="13">
        <v>45</v>
      </c>
      <c r="AS288" s="13"/>
      <c r="AT288" s="13"/>
      <c r="AU288" s="13">
        <v>45</v>
      </c>
      <c r="AV288" s="21">
        <v>45</v>
      </c>
      <c r="AW288" s="13"/>
      <c r="AX288" s="13">
        <v>45</v>
      </c>
      <c r="AY288" s="13"/>
      <c r="AZ288" s="13">
        <v>45</v>
      </c>
      <c r="BA288" s="13"/>
      <c r="BB288" s="13">
        <v>45</v>
      </c>
      <c r="BC288" s="13"/>
      <c r="BD288" s="13">
        <v>45</v>
      </c>
      <c r="BE288" s="13">
        <v>45</v>
      </c>
      <c r="BF288" s="13">
        <v>45</v>
      </c>
      <c r="BG288" s="13">
        <v>45</v>
      </c>
      <c r="BH288" s="13">
        <v>45</v>
      </c>
      <c r="BI288" s="13">
        <v>45</v>
      </c>
      <c r="BJ288" s="13">
        <v>45</v>
      </c>
      <c r="BK288" s="13">
        <v>45</v>
      </c>
      <c r="BL288" s="13">
        <v>45</v>
      </c>
      <c r="BM288" s="13">
        <f t="shared" si="51"/>
        <v>90</v>
      </c>
      <c r="BN288" s="22">
        <f t="shared" si="52"/>
        <v>45</v>
      </c>
      <c r="BO288" s="23" t="str">
        <f t="shared" si="53"/>
        <v>ok</v>
      </c>
      <c r="BP288" s="22">
        <f t="shared" si="54"/>
        <v>639</v>
      </c>
      <c r="BQ288" s="22" t="str">
        <f t="shared" si="55"/>
        <v>ok</v>
      </c>
      <c r="BR288" s="56"/>
    </row>
    <row r="289" spans="1:70" s="12" customFormat="1" ht="24.95" customHeight="1" x14ac:dyDescent="0.25">
      <c r="A289" s="4" t="s">
        <v>595</v>
      </c>
      <c r="B289" s="15" t="s">
        <v>596</v>
      </c>
      <c r="C289" s="5">
        <v>70018</v>
      </c>
      <c r="D289" s="5" t="s">
        <v>733</v>
      </c>
      <c r="E289" s="16" t="s">
        <v>835</v>
      </c>
      <c r="F289" s="16">
        <v>2</v>
      </c>
      <c r="G289" s="16">
        <v>0</v>
      </c>
      <c r="H289" s="16" t="s">
        <v>27</v>
      </c>
      <c r="I289" s="16" t="s">
        <v>14</v>
      </c>
      <c r="J289" s="17"/>
      <c r="K289" s="17"/>
      <c r="L289" s="17"/>
      <c r="M289" s="17"/>
      <c r="N289" s="17"/>
      <c r="O289" s="13"/>
      <c r="P289" s="13"/>
      <c r="Q289" s="13">
        <v>52</v>
      </c>
      <c r="R289" s="6">
        <v>45</v>
      </c>
      <c r="S289" s="7">
        <v>0.09</v>
      </c>
      <c r="T289" s="62">
        <v>45</v>
      </c>
      <c r="U289" s="16">
        <v>306</v>
      </c>
      <c r="V289" s="16"/>
      <c r="W289" s="16">
        <v>517.5</v>
      </c>
      <c r="X289" s="18">
        <v>517.5</v>
      </c>
      <c r="Y289" s="16">
        <f t="shared" si="56"/>
        <v>0</v>
      </c>
      <c r="Z289" s="16">
        <f t="shared" si="57"/>
        <v>306</v>
      </c>
      <c r="AA289" s="4">
        <v>45</v>
      </c>
      <c r="AB289" s="4">
        <v>45</v>
      </c>
      <c r="AC289" s="4">
        <v>45</v>
      </c>
      <c r="AD289" s="4">
        <v>90</v>
      </c>
      <c r="AE289" s="19">
        <v>225</v>
      </c>
      <c r="AF289" s="13">
        <f t="shared" si="58"/>
        <v>3</v>
      </c>
      <c r="AG289" s="20">
        <f t="shared" si="50"/>
        <v>46034</v>
      </c>
      <c r="AH289" s="13"/>
      <c r="AI289" s="13"/>
      <c r="AJ289" s="13"/>
      <c r="AK289" s="13"/>
      <c r="AL289" s="13">
        <v>45</v>
      </c>
      <c r="AM289" s="13">
        <v>36</v>
      </c>
      <c r="AN289" s="13"/>
      <c r="AO289" s="13"/>
      <c r="AP289" s="13"/>
      <c r="AQ289" s="13"/>
      <c r="AR289" s="13"/>
      <c r="AS289" s="13">
        <v>45</v>
      </c>
      <c r="AT289" s="13"/>
      <c r="AU289" s="13"/>
      <c r="AV289" s="21"/>
      <c r="AW289" s="13"/>
      <c r="AX289" s="13"/>
      <c r="AY289" s="13"/>
      <c r="AZ289" s="13"/>
      <c r="BA289" s="13"/>
      <c r="BB289" s="13">
        <v>45</v>
      </c>
      <c r="BC289" s="13"/>
      <c r="BD289" s="13">
        <v>45</v>
      </c>
      <c r="BE289" s="13"/>
      <c r="BF289" s="13"/>
      <c r="BG289" s="13">
        <v>45</v>
      </c>
      <c r="BH289" s="13"/>
      <c r="BI289" s="13">
        <v>45</v>
      </c>
      <c r="BJ289" s="13"/>
      <c r="BK289" s="13"/>
      <c r="BL289" s="13"/>
      <c r="BM289" s="13">
        <f t="shared" si="51"/>
        <v>0</v>
      </c>
      <c r="BN289" s="22">
        <f t="shared" si="52"/>
        <v>45</v>
      </c>
      <c r="BO289" s="23" t="str">
        <f t="shared" si="53"/>
        <v>ok</v>
      </c>
      <c r="BP289" s="22">
        <f t="shared" si="54"/>
        <v>517.5</v>
      </c>
      <c r="BQ289" s="22" t="str">
        <f t="shared" si="55"/>
        <v>ok</v>
      </c>
      <c r="BR289" s="56"/>
    </row>
    <row r="290" spans="1:70" s="12" customFormat="1" ht="24.95" customHeight="1" x14ac:dyDescent="0.25">
      <c r="A290" s="4" t="s">
        <v>597</v>
      </c>
      <c r="B290" s="15" t="s">
        <v>598</v>
      </c>
      <c r="C290" s="5">
        <v>70018</v>
      </c>
      <c r="D290" s="5" t="s">
        <v>733</v>
      </c>
      <c r="E290" s="16" t="s">
        <v>837</v>
      </c>
      <c r="F290" s="16">
        <v>2</v>
      </c>
      <c r="G290" s="16">
        <v>0</v>
      </c>
      <c r="H290" s="16" t="s">
        <v>27</v>
      </c>
      <c r="I290" s="16" t="s">
        <v>14</v>
      </c>
      <c r="J290" s="17"/>
      <c r="K290" s="17"/>
      <c r="L290" s="17"/>
      <c r="M290" s="17"/>
      <c r="N290" s="17"/>
      <c r="O290" s="13"/>
      <c r="P290" s="13"/>
      <c r="Q290" s="13">
        <v>11</v>
      </c>
      <c r="R290" s="6">
        <v>8</v>
      </c>
      <c r="S290" s="7">
        <v>0.09</v>
      </c>
      <c r="T290" s="62">
        <v>45</v>
      </c>
      <c r="U290" s="16">
        <v>364.5</v>
      </c>
      <c r="V290" s="16"/>
      <c r="W290" s="16">
        <v>703.5</v>
      </c>
      <c r="X290" s="18">
        <v>703.5</v>
      </c>
      <c r="Y290" s="16">
        <f t="shared" si="56"/>
        <v>-4.5</v>
      </c>
      <c r="Z290" s="16">
        <f t="shared" si="57"/>
        <v>360</v>
      </c>
      <c r="AA290" s="4">
        <v>90</v>
      </c>
      <c r="AB290" s="4">
        <v>45</v>
      </c>
      <c r="AC290" s="4">
        <v>90</v>
      </c>
      <c r="AD290" s="4">
        <v>90</v>
      </c>
      <c r="AE290" s="32">
        <v>315</v>
      </c>
      <c r="AF290" s="13">
        <f t="shared" si="58"/>
        <v>3</v>
      </c>
      <c r="AG290" s="20">
        <f t="shared" si="50"/>
        <v>46034</v>
      </c>
      <c r="AH290" s="13"/>
      <c r="AI290" s="13"/>
      <c r="AJ290" s="13"/>
      <c r="AK290" s="13"/>
      <c r="AL290" s="13"/>
      <c r="AM290" s="13"/>
      <c r="AN290" s="13"/>
      <c r="AO290" s="13"/>
      <c r="AP290" s="13"/>
      <c r="AQ290" s="13">
        <v>45</v>
      </c>
      <c r="AR290" s="13">
        <v>45</v>
      </c>
      <c r="AS290" s="13"/>
      <c r="AT290" s="13">
        <v>45</v>
      </c>
      <c r="AU290" s="13"/>
      <c r="AV290" s="21"/>
      <c r="AW290" s="13"/>
      <c r="AX290" s="13">
        <v>45</v>
      </c>
      <c r="AY290" s="13"/>
      <c r="AZ290" s="13"/>
      <c r="BA290" s="13"/>
      <c r="BB290" s="13"/>
      <c r="BC290" s="13"/>
      <c r="BD290" s="13"/>
      <c r="BE290" s="13"/>
      <c r="BF290" s="13">
        <v>45</v>
      </c>
      <c r="BG290" s="13"/>
      <c r="BH290" s="13">
        <v>45</v>
      </c>
      <c r="BI290" s="13"/>
      <c r="BJ290" s="13">
        <v>45</v>
      </c>
      <c r="BK290" s="13">
        <v>45</v>
      </c>
      <c r="BL290" s="13"/>
      <c r="BM290" s="13">
        <f t="shared" si="51"/>
        <v>49.5</v>
      </c>
      <c r="BN290" s="22">
        <f t="shared" si="52"/>
        <v>45</v>
      </c>
      <c r="BO290" s="23" t="str">
        <f t="shared" si="53"/>
        <v>ok</v>
      </c>
      <c r="BP290" s="22">
        <f t="shared" si="54"/>
        <v>703.5</v>
      </c>
      <c r="BQ290" s="22" t="str">
        <f t="shared" si="55"/>
        <v>ok</v>
      </c>
      <c r="BR290" s="56" t="s">
        <v>28</v>
      </c>
    </row>
    <row r="291" spans="1:70" s="12" customFormat="1" ht="24.95" customHeight="1" x14ac:dyDescent="0.25">
      <c r="A291" s="4" t="s">
        <v>599</v>
      </c>
      <c r="B291" s="15" t="s">
        <v>600</v>
      </c>
      <c r="C291" s="5">
        <v>70018</v>
      </c>
      <c r="D291" s="5" t="s">
        <v>733</v>
      </c>
      <c r="E291" s="16" t="s">
        <v>836</v>
      </c>
      <c r="F291" s="16">
        <v>2</v>
      </c>
      <c r="G291" s="16">
        <v>0</v>
      </c>
      <c r="H291" s="16" t="s">
        <v>27</v>
      </c>
      <c r="I291" s="16" t="s">
        <v>14</v>
      </c>
      <c r="J291" s="17"/>
      <c r="K291" s="17"/>
      <c r="L291" s="17"/>
      <c r="M291" s="17"/>
      <c r="N291" s="17"/>
      <c r="O291" s="13"/>
      <c r="P291" s="13"/>
      <c r="Q291" s="13">
        <v>71</v>
      </c>
      <c r="R291" s="6">
        <v>62</v>
      </c>
      <c r="S291" s="7">
        <v>0.09</v>
      </c>
      <c r="T291" s="62">
        <v>45</v>
      </c>
      <c r="U291" s="16">
        <v>130.5</v>
      </c>
      <c r="V291" s="16"/>
      <c r="W291" s="16">
        <v>163.5</v>
      </c>
      <c r="X291" s="18">
        <v>163.5</v>
      </c>
      <c r="Y291" s="16">
        <f t="shared" si="56"/>
        <v>0</v>
      </c>
      <c r="Z291" s="16">
        <f t="shared" si="57"/>
        <v>130.5</v>
      </c>
      <c r="AA291" s="4">
        <v>0</v>
      </c>
      <c r="AB291" s="4">
        <v>17</v>
      </c>
      <c r="AC291" s="4">
        <v>45</v>
      </c>
      <c r="AD291" s="4">
        <v>28</v>
      </c>
      <c r="AE291" s="19">
        <v>90</v>
      </c>
      <c r="AF291" s="13">
        <f t="shared" si="58"/>
        <v>3</v>
      </c>
      <c r="AG291" s="20">
        <f t="shared" si="50"/>
        <v>46034</v>
      </c>
      <c r="AH291" s="13">
        <v>40.5</v>
      </c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21"/>
      <c r="AW291" s="13"/>
      <c r="AX291" s="13"/>
      <c r="AY291" s="13"/>
      <c r="AZ291" s="13"/>
      <c r="BA291" s="13"/>
      <c r="BB291" s="13"/>
      <c r="BC291" s="13">
        <v>45</v>
      </c>
      <c r="BD291" s="13"/>
      <c r="BE291" s="13"/>
      <c r="BF291" s="13"/>
      <c r="BG291" s="13"/>
      <c r="BH291" s="13">
        <v>45</v>
      </c>
      <c r="BI291" s="13"/>
      <c r="BJ291" s="13"/>
      <c r="BK291" s="13"/>
      <c r="BL291" s="13"/>
      <c r="BM291" s="13">
        <f t="shared" si="51"/>
        <v>0</v>
      </c>
      <c r="BN291" s="22">
        <f t="shared" si="52"/>
        <v>45</v>
      </c>
      <c r="BO291" s="23" t="str">
        <f t="shared" si="53"/>
        <v>ok</v>
      </c>
      <c r="BP291" s="22">
        <f t="shared" si="54"/>
        <v>163.5</v>
      </c>
      <c r="BQ291" s="22" t="str">
        <f t="shared" si="55"/>
        <v>ok</v>
      </c>
      <c r="BR291" s="56"/>
    </row>
    <row r="292" spans="1:70" s="12" customFormat="1" ht="24.95" customHeight="1" x14ac:dyDescent="0.25">
      <c r="A292" s="4" t="s">
        <v>601</v>
      </c>
      <c r="B292" s="15" t="s">
        <v>602</v>
      </c>
      <c r="C292" s="5">
        <v>70018</v>
      </c>
      <c r="D292" s="5" t="s">
        <v>733</v>
      </c>
      <c r="E292" s="16" t="s">
        <v>841</v>
      </c>
      <c r="F292" s="16">
        <v>2</v>
      </c>
      <c r="G292" s="16">
        <v>1</v>
      </c>
      <c r="H292" s="16" t="s">
        <v>27</v>
      </c>
      <c r="I292" s="16" t="s">
        <v>14</v>
      </c>
      <c r="J292" s="17"/>
      <c r="K292" s="17"/>
      <c r="L292" s="17"/>
      <c r="M292" s="17"/>
      <c r="N292" s="17"/>
      <c r="O292" s="13"/>
      <c r="P292" s="13"/>
      <c r="Q292" s="13">
        <v>11</v>
      </c>
      <c r="R292" s="6">
        <v>8</v>
      </c>
      <c r="S292" s="7">
        <v>0.09</v>
      </c>
      <c r="T292" s="62">
        <v>45</v>
      </c>
      <c r="U292" s="16">
        <v>546.30000000000007</v>
      </c>
      <c r="V292" s="16"/>
      <c r="W292" s="16">
        <v>762</v>
      </c>
      <c r="X292" s="18">
        <v>762</v>
      </c>
      <c r="Y292" s="16">
        <f t="shared" si="56"/>
        <v>-6.3000000000000682</v>
      </c>
      <c r="Z292" s="16">
        <f t="shared" si="57"/>
        <v>540</v>
      </c>
      <c r="AA292" s="4">
        <v>45</v>
      </c>
      <c r="AB292" s="4">
        <v>45</v>
      </c>
      <c r="AC292" s="4">
        <v>0</v>
      </c>
      <c r="AD292" s="4">
        <v>45</v>
      </c>
      <c r="AE292" s="32">
        <v>135</v>
      </c>
      <c r="AF292" s="13">
        <f t="shared" si="58"/>
        <v>3</v>
      </c>
      <c r="AG292" s="20">
        <f t="shared" si="50"/>
        <v>46034</v>
      </c>
      <c r="AH292" s="13"/>
      <c r="AI292" s="13">
        <v>45</v>
      </c>
      <c r="AJ292" s="13">
        <v>45</v>
      </c>
      <c r="AK292" s="13"/>
      <c r="AL292" s="13"/>
      <c r="AM292" s="13">
        <v>45</v>
      </c>
      <c r="AN292" s="13"/>
      <c r="AO292" s="13">
        <v>45</v>
      </c>
      <c r="AP292" s="13"/>
      <c r="AQ292" s="13"/>
      <c r="AR292" s="13"/>
      <c r="AS292" s="13">
        <v>45</v>
      </c>
      <c r="AT292" s="13"/>
      <c r="AU292" s="13">
        <v>45</v>
      </c>
      <c r="AV292" s="21">
        <v>45</v>
      </c>
      <c r="AW292" s="13">
        <v>45</v>
      </c>
      <c r="AX292" s="13"/>
      <c r="AY292" s="13"/>
      <c r="AZ292" s="13">
        <v>45</v>
      </c>
      <c r="BA292" s="13"/>
      <c r="BB292" s="13"/>
      <c r="BC292" s="13"/>
      <c r="BD292" s="13"/>
      <c r="BE292" s="13"/>
      <c r="BF292" s="13">
        <v>45</v>
      </c>
      <c r="BG292" s="13"/>
      <c r="BH292" s="13"/>
      <c r="BI292" s="13">
        <v>45</v>
      </c>
      <c r="BJ292" s="13"/>
      <c r="BK292" s="13"/>
      <c r="BL292" s="13">
        <v>45</v>
      </c>
      <c r="BM292" s="13">
        <f t="shared" si="51"/>
        <v>51.300000000000068</v>
      </c>
      <c r="BN292" s="22">
        <f t="shared" si="52"/>
        <v>45</v>
      </c>
      <c r="BO292" s="23" t="str">
        <f t="shared" si="53"/>
        <v>ok</v>
      </c>
      <c r="BP292" s="22">
        <f t="shared" si="54"/>
        <v>762</v>
      </c>
      <c r="BQ292" s="22" t="str">
        <f t="shared" si="55"/>
        <v>ok</v>
      </c>
      <c r="BR292" s="56" t="s">
        <v>28</v>
      </c>
    </row>
    <row r="293" spans="1:70" s="12" customFormat="1" ht="24.95" customHeight="1" x14ac:dyDescent="0.25">
      <c r="A293" s="4" t="s">
        <v>603</v>
      </c>
      <c r="B293" s="15" t="s">
        <v>604</v>
      </c>
      <c r="C293" s="5">
        <v>70018</v>
      </c>
      <c r="D293" s="5" t="s">
        <v>733</v>
      </c>
      <c r="E293" s="16" t="s">
        <v>842</v>
      </c>
      <c r="F293" s="16">
        <v>2</v>
      </c>
      <c r="G293" s="16">
        <v>0</v>
      </c>
      <c r="H293" s="16">
        <v>0</v>
      </c>
      <c r="I293" s="16" t="s">
        <v>14</v>
      </c>
      <c r="J293" s="17"/>
      <c r="K293" s="17"/>
      <c r="L293" s="17"/>
      <c r="M293" s="17"/>
      <c r="N293" s="17"/>
      <c r="O293" s="13"/>
      <c r="P293" s="13"/>
      <c r="Q293" s="13">
        <v>67</v>
      </c>
      <c r="R293" s="6">
        <v>58</v>
      </c>
      <c r="S293" s="7">
        <v>0.09</v>
      </c>
      <c r="T293" s="62">
        <v>33</v>
      </c>
      <c r="U293" s="16">
        <v>365.40000000000003</v>
      </c>
      <c r="V293" s="16"/>
      <c r="W293" s="16">
        <v>327</v>
      </c>
      <c r="X293" s="18">
        <v>327</v>
      </c>
      <c r="Y293" s="16">
        <f t="shared" si="56"/>
        <v>-2.4000000000000341</v>
      </c>
      <c r="Z293" s="16">
        <f t="shared" si="57"/>
        <v>363</v>
      </c>
      <c r="AA293" s="4">
        <v>0</v>
      </c>
      <c r="AB293" s="4">
        <v>90</v>
      </c>
      <c r="AC293" s="4">
        <v>45</v>
      </c>
      <c r="AD293" s="4">
        <v>83</v>
      </c>
      <c r="AE293" s="19">
        <v>218</v>
      </c>
      <c r="AF293" s="13">
        <f t="shared" si="58"/>
        <v>3</v>
      </c>
      <c r="AG293" s="20">
        <f t="shared" si="50"/>
        <v>46034</v>
      </c>
      <c r="AH293" s="24"/>
      <c r="AI293" s="24">
        <v>33</v>
      </c>
      <c r="AJ293" s="24">
        <v>33</v>
      </c>
      <c r="AK293" s="24">
        <v>33</v>
      </c>
      <c r="AL293" s="24">
        <v>33</v>
      </c>
      <c r="AM293" s="24">
        <v>33</v>
      </c>
      <c r="AN293" s="24"/>
      <c r="AO293" s="24"/>
      <c r="AP293" s="24"/>
      <c r="AQ293" s="24"/>
      <c r="AR293" s="24"/>
      <c r="AS293" s="24">
        <v>33</v>
      </c>
      <c r="AT293" s="24"/>
      <c r="AU293" s="24"/>
      <c r="AV293" s="24"/>
      <c r="AW293" s="24"/>
      <c r="AX293" s="24"/>
      <c r="AY293" s="13"/>
      <c r="AZ293" s="13"/>
      <c r="BA293" s="13"/>
      <c r="BB293" s="13">
        <v>33</v>
      </c>
      <c r="BC293" s="13">
        <v>33</v>
      </c>
      <c r="BD293" s="13">
        <v>33</v>
      </c>
      <c r="BE293" s="13"/>
      <c r="BF293" s="13"/>
      <c r="BG293" s="13">
        <v>33</v>
      </c>
      <c r="BH293" s="13"/>
      <c r="BI293" s="13">
        <v>33</v>
      </c>
      <c r="BJ293" s="13"/>
      <c r="BK293" s="13"/>
      <c r="BL293" s="13"/>
      <c r="BM293" s="13">
        <f t="shared" si="51"/>
        <v>2.4000000000000341</v>
      </c>
      <c r="BN293" s="22">
        <f t="shared" si="52"/>
        <v>33</v>
      </c>
      <c r="BO293" s="23" t="str">
        <f t="shared" si="53"/>
        <v>ok</v>
      </c>
      <c r="BP293" s="22">
        <f t="shared" si="54"/>
        <v>327</v>
      </c>
      <c r="BQ293" s="22" t="str">
        <f t="shared" si="55"/>
        <v>ok</v>
      </c>
      <c r="BR293" s="56" t="s">
        <v>28</v>
      </c>
    </row>
    <row r="294" spans="1:70" s="12" customFormat="1" ht="24.95" customHeight="1" x14ac:dyDescent="0.25">
      <c r="A294" s="4" t="s">
        <v>605</v>
      </c>
      <c r="B294" s="15" t="s">
        <v>606</v>
      </c>
      <c r="C294" s="5">
        <v>70018</v>
      </c>
      <c r="D294" s="5" t="s">
        <v>733</v>
      </c>
      <c r="E294" s="16" t="s">
        <v>843</v>
      </c>
      <c r="F294" s="16">
        <v>2</v>
      </c>
      <c r="G294" s="16">
        <v>0</v>
      </c>
      <c r="H294" s="16" t="s">
        <v>27</v>
      </c>
      <c r="I294" s="16" t="s">
        <v>14</v>
      </c>
      <c r="J294" s="17"/>
      <c r="K294" s="17"/>
      <c r="L294" s="17"/>
      <c r="M294" s="17"/>
      <c r="N294" s="17"/>
      <c r="O294" s="13"/>
      <c r="P294" s="13"/>
      <c r="Q294" s="13">
        <v>150</v>
      </c>
      <c r="R294" s="6">
        <v>128</v>
      </c>
      <c r="S294" s="7">
        <v>0.09</v>
      </c>
      <c r="T294" s="62">
        <v>45</v>
      </c>
      <c r="U294" s="16">
        <v>243</v>
      </c>
      <c r="V294" s="16"/>
      <c r="W294" s="16">
        <v>613.5</v>
      </c>
      <c r="X294" s="18">
        <v>613.5</v>
      </c>
      <c r="Y294" s="16">
        <f t="shared" si="56"/>
        <v>0</v>
      </c>
      <c r="Z294" s="16">
        <f t="shared" si="57"/>
        <v>243</v>
      </c>
      <c r="AA294" s="4">
        <v>90</v>
      </c>
      <c r="AB294" s="4">
        <v>0</v>
      </c>
      <c r="AC294" s="4">
        <v>27</v>
      </c>
      <c r="AD294" s="4">
        <v>45</v>
      </c>
      <c r="AE294" s="32">
        <v>162</v>
      </c>
      <c r="AF294" s="13">
        <f t="shared" si="58"/>
        <v>3</v>
      </c>
      <c r="AG294" s="20">
        <f t="shared" si="50"/>
        <v>46034</v>
      </c>
      <c r="AH294" s="13"/>
      <c r="AI294" s="13"/>
      <c r="AJ294" s="13"/>
      <c r="AK294" s="13"/>
      <c r="AL294" s="13">
        <v>45</v>
      </c>
      <c r="AM294" s="13"/>
      <c r="AN294" s="13">
        <v>18</v>
      </c>
      <c r="AO294" s="13"/>
      <c r="AP294" s="13"/>
      <c r="AQ294" s="13"/>
      <c r="AR294" s="13"/>
      <c r="AS294" s="13"/>
      <c r="AT294" s="13"/>
      <c r="AU294" s="13"/>
      <c r="AV294" s="21">
        <v>45</v>
      </c>
      <c r="AW294" s="13"/>
      <c r="AX294" s="13"/>
      <c r="AY294" s="13"/>
      <c r="AZ294" s="13"/>
      <c r="BA294" s="13"/>
      <c r="BB294" s="13">
        <v>45</v>
      </c>
      <c r="BC294" s="13">
        <v>45</v>
      </c>
      <c r="BD294" s="13">
        <v>45</v>
      </c>
      <c r="BE294" s="13"/>
      <c r="BF294" s="13"/>
      <c r="BG294" s="13"/>
      <c r="BH294" s="13"/>
      <c r="BI294" s="13"/>
      <c r="BJ294" s="13"/>
      <c r="BK294" s="13"/>
      <c r="BL294" s="13"/>
      <c r="BM294" s="13">
        <f t="shared" si="51"/>
        <v>0</v>
      </c>
      <c r="BN294" s="22">
        <f t="shared" si="52"/>
        <v>45</v>
      </c>
      <c r="BO294" s="23" t="str">
        <f t="shared" si="53"/>
        <v>ok</v>
      </c>
      <c r="BP294" s="22">
        <f t="shared" si="54"/>
        <v>613.5</v>
      </c>
      <c r="BQ294" s="22" t="str">
        <f t="shared" si="55"/>
        <v>ok</v>
      </c>
      <c r="BR294" s="56"/>
    </row>
    <row r="295" spans="1:70" s="12" customFormat="1" ht="24.95" customHeight="1" x14ac:dyDescent="0.25">
      <c r="A295" s="4" t="s">
        <v>607</v>
      </c>
      <c r="B295" s="15" t="s">
        <v>608</v>
      </c>
      <c r="C295" s="5">
        <v>70018</v>
      </c>
      <c r="D295" s="5" t="s">
        <v>733</v>
      </c>
      <c r="E295" s="16" t="s">
        <v>845</v>
      </c>
      <c r="F295" s="16">
        <v>2</v>
      </c>
      <c r="G295" s="16">
        <v>0</v>
      </c>
      <c r="H295" s="16" t="s">
        <v>27</v>
      </c>
      <c r="I295" s="16" t="s">
        <v>14</v>
      </c>
      <c r="J295" s="17"/>
      <c r="K295" s="17"/>
      <c r="L295" s="17"/>
      <c r="M295" s="17"/>
      <c r="N295" s="17"/>
      <c r="O295" s="13"/>
      <c r="P295" s="13"/>
      <c r="Q295" s="13">
        <v>102</v>
      </c>
      <c r="R295" s="6">
        <v>89</v>
      </c>
      <c r="S295" s="7">
        <v>0.09</v>
      </c>
      <c r="T295" s="62">
        <v>45</v>
      </c>
      <c r="U295" s="16">
        <v>293.40000000000003</v>
      </c>
      <c r="V295" s="16"/>
      <c r="W295" s="16">
        <v>583.5</v>
      </c>
      <c r="X295" s="18">
        <v>583.5</v>
      </c>
      <c r="Y295" s="16">
        <f t="shared" si="56"/>
        <v>0</v>
      </c>
      <c r="Z295" s="16">
        <f t="shared" si="57"/>
        <v>293.39999999999998</v>
      </c>
      <c r="AA295" s="4">
        <v>0</v>
      </c>
      <c r="AB295" s="4">
        <v>0</v>
      </c>
      <c r="AC295" s="4">
        <v>25</v>
      </c>
      <c r="AD295" s="4">
        <v>45</v>
      </c>
      <c r="AE295" s="19">
        <v>70</v>
      </c>
      <c r="AF295" s="13">
        <f t="shared" si="58"/>
        <v>3</v>
      </c>
      <c r="AG295" s="20">
        <f t="shared" si="50"/>
        <v>46034</v>
      </c>
      <c r="AH295" s="13"/>
      <c r="AI295" s="13">
        <v>45</v>
      </c>
      <c r="AJ295" s="13">
        <v>45</v>
      </c>
      <c r="AK295" s="13"/>
      <c r="AL295" s="13"/>
      <c r="AM295" s="13"/>
      <c r="AN295" s="13"/>
      <c r="AO295" s="13">
        <v>45</v>
      </c>
      <c r="AP295" s="13"/>
      <c r="AQ295" s="13"/>
      <c r="AR295" s="13"/>
      <c r="AS295" s="13"/>
      <c r="AT295" s="13"/>
      <c r="AU295" s="13">
        <v>45</v>
      </c>
      <c r="AV295" s="21">
        <v>23.4</v>
      </c>
      <c r="AW295" s="13"/>
      <c r="AX295" s="13"/>
      <c r="AY295" s="13"/>
      <c r="AZ295" s="13"/>
      <c r="BA295" s="13"/>
      <c r="BB295" s="13"/>
      <c r="BC295" s="13">
        <v>45</v>
      </c>
      <c r="BD295" s="13"/>
      <c r="BE295" s="13"/>
      <c r="BF295" s="13"/>
      <c r="BG295" s="13"/>
      <c r="BH295" s="13">
        <v>45</v>
      </c>
      <c r="BI295" s="13"/>
      <c r="BJ295" s="13"/>
      <c r="BK295" s="13"/>
      <c r="BL295" s="13"/>
      <c r="BM295" s="13">
        <f t="shared" si="51"/>
        <v>5.6843418860808015E-14</v>
      </c>
      <c r="BN295" s="22">
        <f t="shared" si="52"/>
        <v>45</v>
      </c>
      <c r="BO295" s="23" t="str">
        <f t="shared" si="53"/>
        <v>ok</v>
      </c>
      <c r="BP295" s="22">
        <f t="shared" si="54"/>
        <v>583.5</v>
      </c>
      <c r="BQ295" s="22" t="str">
        <f t="shared" si="55"/>
        <v>ok</v>
      </c>
      <c r="BR295" s="56"/>
    </row>
    <row r="296" spans="1:70" s="12" customFormat="1" ht="24.95" customHeight="1" x14ac:dyDescent="0.25">
      <c r="A296" s="4" t="s">
        <v>609</v>
      </c>
      <c r="B296" s="15" t="s">
        <v>610</v>
      </c>
      <c r="C296" s="5">
        <v>70018</v>
      </c>
      <c r="D296" s="5" t="s">
        <v>733</v>
      </c>
      <c r="E296" s="16" t="s">
        <v>844</v>
      </c>
      <c r="F296" s="16">
        <v>2</v>
      </c>
      <c r="G296" s="16">
        <v>0</v>
      </c>
      <c r="H296" s="16" t="s">
        <v>26</v>
      </c>
      <c r="I296" s="16" t="s">
        <v>14</v>
      </c>
      <c r="J296" s="17"/>
      <c r="K296" s="17"/>
      <c r="L296" s="17"/>
      <c r="M296" s="17"/>
      <c r="N296" s="17"/>
      <c r="O296" s="13"/>
      <c r="P296" s="13"/>
      <c r="Q296" s="13">
        <v>116</v>
      </c>
      <c r="R296" s="6">
        <v>101</v>
      </c>
      <c r="S296" s="7">
        <v>0.09</v>
      </c>
      <c r="T296" s="62">
        <v>33</v>
      </c>
      <c r="U296" s="16">
        <v>89.100000000000009</v>
      </c>
      <c r="V296" s="16"/>
      <c r="W296" s="16">
        <v>198</v>
      </c>
      <c r="X296" s="18">
        <v>198</v>
      </c>
      <c r="Y296" s="16">
        <f t="shared" si="56"/>
        <v>0</v>
      </c>
      <c r="Z296" s="16">
        <f t="shared" si="57"/>
        <v>89.1</v>
      </c>
      <c r="AA296" s="4">
        <v>0</v>
      </c>
      <c r="AB296" s="4">
        <v>0</v>
      </c>
      <c r="AC296" s="4">
        <v>0</v>
      </c>
      <c r="AD296" s="4">
        <v>0</v>
      </c>
      <c r="AE296" s="32">
        <v>0</v>
      </c>
      <c r="AF296" s="13">
        <f t="shared" si="58"/>
        <v>3</v>
      </c>
      <c r="AG296" s="20">
        <f t="shared" si="50"/>
        <v>46031</v>
      </c>
      <c r="AH296" s="13"/>
      <c r="AI296" s="13"/>
      <c r="AJ296" s="13"/>
      <c r="AK296" s="13"/>
      <c r="AL296" s="13"/>
      <c r="AM296" s="13">
        <v>23.1</v>
      </c>
      <c r="AN296" s="13"/>
      <c r="AO296" s="13"/>
      <c r="AP296" s="13"/>
      <c r="AQ296" s="13"/>
      <c r="AR296" s="13"/>
      <c r="AS296" s="13"/>
      <c r="AT296" s="13"/>
      <c r="AU296" s="13"/>
      <c r="AV296" s="21">
        <v>33</v>
      </c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>
        <v>33</v>
      </c>
      <c r="BH296" s="13"/>
      <c r="BI296" s="13"/>
      <c r="BJ296" s="13"/>
      <c r="BK296" s="13"/>
      <c r="BL296" s="13"/>
      <c r="BM296" s="13">
        <f t="shared" si="51"/>
        <v>1.4210854715202004E-14</v>
      </c>
      <c r="BN296" s="22">
        <f t="shared" si="52"/>
        <v>33</v>
      </c>
      <c r="BO296" s="23" t="str">
        <f t="shared" si="53"/>
        <v>ok</v>
      </c>
      <c r="BP296" s="22">
        <f t="shared" si="54"/>
        <v>198</v>
      </c>
      <c r="BQ296" s="22" t="str">
        <f t="shared" si="55"/>
        <v>ok</v>
      </c>
      <c r="BR296" s="56"/>
    </row>
    <row r="297" spans="1:70" s="12" customFormat="1" ht="24.95" customHeight="1" x14ac:dyDescent="0.25">
      <c r="A297" s="4" t="s">
        <v>611</v>
      </c>
      <c r="B297" s="15" t="s">
        <v>612</v>
      </c>
      <c r="C297" s="5">
        <v>70018</v>
      </c>
      <c r="D297" s="5" t="s">
        <v>733</v>
      </c>
      <c r="E297" s="16" t="s">
        <v>847</v>
      </c>
      <c r="F297" s="16">
        <v>2</v>
      </c>
      <c r="G297" s="16">
        <v>0</v>
      </c>
      <c r="H297" s="16">
        <v>0</v>
      </c>
      <c r="I297" s="16" t="s">
        <v>14</v>
      </c>
      <c r="J297" s="17"/>
      <c r="K297" s="17"/>
      <c r="L297" s="17"/>
      <c r="M297" s="17"/>
      <c r="N297" s="17"/>
      <c r="O297" s="13"/>
      <c r="P297" s="13"/>
      <c r="Q297" s="13">
        <v>11</v>
      </c>
      <c r="R297" s="6">
        <v>8</v>
      </c>
      <c r="S297" s="7">
        <v>0.09</v>
      </c>
      <c r="T297" s="62">
        <v>33</v>
      </c>
      <c r="U297" s="16">
        <v>89.100000000000009</v>
      </c>
      <c r="V297" s="16"/>
      <c r="W297" s="16">
        <v>84</v>
      </c>
      <c r="X297" s="18">
        <v>84</v>
      </c>
      <c r="Y297" s="16">
        <f t="shared" si="56"/>
        <v>0</v>
      </c>
      <c r="Z297" s="16">
        <f t="shared" si="57"/>
        <v>89.1</v>
      </c>
      <c r="AA297" s="4">
        <v>0</v>
      </c>
      <c r="AB297" s="4">
        <v>14</v>
      </c>
      <c r="AC297" s="4">
        <v>9</v>
      </c>
      <c r="AD297" s="4">
        <v>33</v>
      </c>
      <c r="AE297" s="32">
        <v>56</v>
      </c>
      <c r="AF297" s="13">
        <f t="shared" si="58"/>
        <v>3</v>
      </c>
      <c r="AG297" s="20">
        <f t="shared" si="50"/>
        <v>46034</v>
      </c>
      <c r="AH297" s="24">
        <v>33</v>
      </c>
      <c r="AI297" s="24"/>
      <c r="AJ297" s="24"/>
      <c r="AK297" s="24"/>
      <c r="AL297" s="24"/>
      <c r="AM297" s="24"/>
      <c r="AN297" s="24"/>
      <c r="AO297" s="24"/>
      <c r="AP297" s="24"/>
      <c r="AQ297" s="24">
        <v>23.1</v>
      </c>
      <c r="AR297" s="24"/>
      <c r="AS297" s="24"/>
      <c r="AT297" s="24"/>
      <c r="AU297" s="24"/>
      <c r="AV297" s="24"/>
      <c r="AW297" s="24"/>
      <c r="AX297" s="24"/>
      <c r="AY297" s="13"/>
      <c r="AZ297" s="13">
        <v>33</v>
      </c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>
        <f t="shared" si="51"/>
        <v>1.4210854715202004E-14</v>
      </c>
      <c r="BN297" s="22">
        <f t="shared" si="52"/>
        <v>33</v>
      </c>
      <c r="BO297" s="23" t="str">
        <f t="shared" si="53"/>
        <v>ok</v>
      </c>
      <c r="BP297" s="22">
        <f t="shared" si="54"/>
        <v>84</v>
      </c>
      <c r="BQ297" s="22" t="str">
        <f t="shared" si="55"/>
        <v>ok</v>
      </c>
      <c r="BR297" s="56"/>
    </row>
    <row r="298" spans="1:70" s="12" customFormat="1" ht="24.95" customHeight="1" x14ac:dyDescent="0.25">
      <c r="A298" s="4" t="s">
        <v>613</v>
      </c>
      <c r="B298" s="15" t="s">
        <v>614</v>
      </c>
      <c r="C298" s="5">
        <v>70018</v>
      </c>
      <c r="D298" s="5" t="s">
        <v>733</v>
      </c>
      <c r="E298" s="16" t="s">
        <v>846</v>
      </c>
      <c r="F298" s="16">
        <v>2</v>
      </c>
      <c r="G298" s="16">
        <v>0</v>
      </c>
      <c r="H298" s="16">
        <v>0</v>
      </c>
      <c r="I298" s="16" t="s">
        <v>14</v>
      </c>
      <c r="J298" s="17"/>
      <c r="K298" s="17"/>
      <c r="L298" s="17"/>
      <c r="M298" s="17"/>
      <c r="N298" s="17"/>
      <c r="O298" s="13"/>
      <c r="P298" s="13"/>
      <c r="Q298" s="13">
        <v>32</v>
      </c>
      <c r="R298" s="6">
        <v>28</v>
      </c>
      <c r="S298" s="7">
        <v>0.09</v>
      </c>
      <c r="T298" s="62">
        <v>33</v>
      </c>
      <c r="U298" s="16">
        <v>97.2</v>
      </c>
      <c r="V298" s="16"/>
      <c r="W298" s="16">
        <v>130.5</v>
      </c>
      <c r="X298" s="18">
        <v>130.5</v>
      </c>
      <c r="Y298" s="16">
        <f t="shared" si="56"/>
        <v>0</v>
      </c>
      <c r="Z298" s="16">
        <f t="shared" si="57"/>
        <v>97.2</v>
      </c>
      <c r="AA298" s="4">
        <v>45</v>
      </c>
      <c r="AB298" s="4">
        <v>0</v>
      </c>
      <c r="AC298" s="4">
        <v>33</v>
      </c>
      <c r="AD298" s="4">
        <v>0</v>
      </c>
      <c r="AE298" s="19">
        <v>78</v>
      </c>
      <c r="AF298" s="13">
        <f t="shared" si="58"/>
        <v>3</v>
      </c>
      <c r="AG298" s="20">
        <f t="shared" si="50"/>
        <v>46033</v>
      </c>
      <c r="AH298" s="13"/>
      <c r="AI298" s="13"/>
      <c r="AJ298" s="13"/>
      <c r="AK298" s="13"/>
      <c r="AL298" s="13">
        <v>33</v>
      </c>
      <c r="AM298" s="13"/>
      <c r="AN298" s="13"/>
      <c r="AO298" s="13"/>
      <c r="AP298" s="13"/>
      <c r="AQ298" s="13"/>
      <c r="AR298" s="13"/>
      <c r="AS298" s="13"/>
      <c r="AT298" s="13"/>
      <c r="AU298" s="13"/>
      <c r="AV298" s="21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>
        <v>31.2</v>
      </c>
      <c r="BI298" s="13">
        <v>33</v>
      </c>
      <c r="BJ298" s="13"/>
      <c r="BK298" s="13"/>
      <c r="BL298" s="13"/>
      <c r="BM298" s="13">
        <f t="shared" si="51"/>
        <v>0</v>
      </c>
      <c r="BN298" s="22">
        <f t="shared" si="52"/>
        <v>33</v>
      </c>
      <c r="BO298" s="23" t="str">
        <f t="shared" si="53"/>
        <v>ok</v>
      </c>
      <c r="BP298" s="22">
        <f t="shared" si="54"/>
        <v>130.5</v>
      </c>
      <c r="BQ298" s="22" t="str">
        <f t="shared" si="55"/>
        <v>ok</v>
      </c>
      <c r="BR298" s="56"/>
    </row>
    <row r="299" spans="1:70" s="12" customFormat="1" ht="24.95" customHeight="1" x14ac:dyDescent="0.25">
      <c r="A299" s="4" t="s">
        <v>615</v>
      </c>
      <c r="B299" s="15" t="s">
        <v>616</v>
      </c>
      <c r="C299" s="5">
        <v>70018</v>
      </c>
      <c r="D299" s="5" t="s">
        <v>733</v>
      </c>
      <c r="E299" s="16" t="s">
        <v>849</v>
      </c>
      <c r="F299" s="16">
        <v>2</v>
      </c>
      <c r="G299" s="16">
        <v>0</v>
      </c>
      <c r="H299" s="16" t="s">
        <v>27</v>
      </c>
      <c r="I299" s="16" t="s">
        <v>14</v>
      </c>
      <c r="J299" s="17"/>
      <c r="K299" s="17"/>
      <c r="L299" s="17"/>
      <c r="M299" s="17"/>
      <c r="N299" s="17"/>
      <c r="O299" s="13"/>
      <c r="P299" s="13"/>
      <c r="Q299" s="13">
        <v>100</v>
      </c>
      <c r="R299" s="6">
        <v>87</v>
      </c>
      <c r="S299" s="7">
        <v>0.09</v>
      </c>
      <c r="T299" s="62">
        <v>45</v>
      </c>
      <c r="U299" s="16">
        <v>115.2</v>
      </c>
      <c r="V299" s="16"/>
      <c r="W299" s="16">
        <v>315</v>
      </c>
      <c r="X299" s="18">
        <v>315</v>
      </c>
      <c r="Y299" s="16">
        <f t="shared" si="56"/>
        <v>0</v>
      </c>
      <c r="Z299" s="16">
        <f t="shared" si="57"/>
        <v>115.2</v>
      </c>
      <c r="AA299" s="4">
        <v>0</v>
      </c>
      <c r="AB299" s="4">
        <v>0</v>
      </c>
      <c r="AC299" s="4">
        <v>90</v>
      </c>
      <c r="AD299" s="4">
        <v>0</v>
      </c>
      <c r="AE299" s="32">
        <v>90</v>
      </c>
      <c r="AF299" s="13">
        <f t="shared" si="58"/>
        <v>3</v>
      </c>
      <c r="AG299" s="20">
        <f t="shared" si="50"/>
        <v>46033</v>
      </c>
      <c r="AH299" s="13"/>
      <c r="AI299" s="13"/>
      <c r="AJ299" s="13"/>
      <c r="AK299" s="13"/>
      <c r="AL299" s="13"/>
      <c r="AM299" s="13">
        <v>25.2</v>
      </c>
      <c r="AN299" s="13"/>
      <c r="AO299" s="13"/>
      <c r="AP299" s="13"/>
      <c r="AQ299" s="13">
        <v>45</v>
      </c>
      <c r="AR299" s="13"/>
      <c r="AS299" s="13"/>
      <c r="AT299" s="13"/>
      <c r="AU299" s="13"/>
      <c r="AV299" s="21"/>
      <c r="AW299" s="13"/>
      <c r="AX299" s="13"/>
      <c r="AY299" s="13"/>
      <c r="AZ299" s="13"/>
      <c r="BA299" s="13"/>
      <c r="BB299" s="13"/>
      <c r="BC299" s="13"/>
      <c r="BD299" s="13"/>
      <c r="BE299" s="13">
        <v>45</v>
      </c>
      <c r="BF299" s="13"/>
      <c r="BG299" s="13"/>
      <c r="BH299" s="13"/>
      <c r="BI299" s="13"/>
      <c r="BJ299" s="13"/>
      <c r="BK299" s="13"/>
      <c r="BL299" s="13"/>
      <c r="BM299" s="13">
        <f t="shared" si="51"/>
        <v>0</v>
      </c>
      <c r="BN299" s="22">
        <f t="shared" si="52"/>
        <v>45</v>
      </c>
      <c r="BO299" s="23" t="str">
        <f t="shared" si="53"/>
        <v>ok</v>
      </c>
      <c r="BP299" s="22">
        <f t="shared" si="54"/>
        <v>315</v>
      </c>
      <c r="BQ299" s="22" t="str">
        <f t="shared" si="55"/>
        <v>ok</v>
      </c>
      <c r="BR299" s="56"/>
    </row>
    <row r="300" spans="1:70" s="12" customFormat="1" ht="24.95" customHeight="1" x14ac:dyDescent="0.25">
      <c r="A300" s="4" t="s">
        <v>617</v>
      </c>
      <c r="B300" s="15" t="s">
        <v>618</v>
      </c>
      <c r="C300" s="5">
        <v>70018</v>
      </c>
      <c r="D300" s="5" t="s">
        <v>733</v>
      </c>
      <c r="E300" s="16" t="s">
        <v>851</v>
      </c>
      <c r="F300" s="16">
        <v>2</v>
      </c>
      <c r="G300" s="16">
        <v>0</v>
      </c>
      <c r="H300" s="16" t="s">
        <v>26</v>
      </c>
      <c r="I300" s="16" t="s">
        <v>14</v>
      </c>
      <c r="J300" s="17"/>
      <c r="K300" s="17"/>
      <c r="L300" s="17"/>
      <c r="M300" s="17"/>
      <c r="N300" s="17"/>
      <c r="O300" s="13"/>
      <c r="P300" s="13"/>
      <c r="Q300" s="13">
        <v>14</v>
      </c>
      <c r="R300" s="6">
        <v>11</v>
      </c>
      <c r="S300" s="7">
        <v>0.09</v>
      </c>
      <c r="T300" s="62">
        <v>33</v>
      </c>
      <c r="U300" s="16">
        <v>121.5</v>
      </c>
      <c r="V300" s="16"/>
      <c r="W300" s="16">
        <v>184.5</v>
      </c>
      <c r="X300" s="18">
        <v>184.5</v>
      </c>
      <c r="Y300" s="16">
        <f t="shared" si="56"/>
        <v>0</v>
      </c>
      <c r="Z300" s="16">
        <f t="shared" si="57"/>
        <v>121.5</v>
      </c>
      <c r="AA300" s="4">
        <v>26</v>
      </c>
      <c r="AB300" s="4">
        <v>0</v>
      </c>
      <c r="AC300" s="4">
        <v>0</v>
      </c>
      <c r="AD300" s="4">
        <v>45</v>
      </c>
      <c r="AE300" s="32">
        <v>71</v>
      </c>
      <c r="AF300" s="13">
        <f t="shared" si="58"/>
        <v>3</v>
      </c>
      <c r="AG300" s="20">
        <f t="shared" si="50"/>
        <v>46034</v>
      </c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>
        <v>33</v>
      </c>
      <c r="AW300" s="24"/>
      <c r="AX300" s="24"/>
      <c r="AY300" s="13"/>
      <c r="AZ300" s="13">
        <v>33</v>
      </c>
      <c r="BA300" s="13"/>
      <c r="BB300" s="13"/>
      <c r="BC300" s="13"/>
      <c r="BD300" s="13">
        <v>22.5</v>
      </c>
      <c r="BE300" s="13"/>
      <c r="BF300" s="13"/>
      <c r="BG300" s="13"/>
      <c r="BH300" s="13"/>
      <c r="BI300" s="13"/>
      <c r="BJ300" s="13"/>
      <c r="BK300" s="13">
        <v>33</v>
      </c>
      <c r="BL300" s="13"/>
      <c r="BM300" s="13">
        <f t="shared" si="51"/>
        <v>33</v>
      </c>
      <c r="BN300" s="22">
        <f t="shared" si="52"/>
        <v>33</v>
      </c>
      <c r="BO300" s="23" t="str">
        <f t="shared" si="53"/>
        <v>ok</v>
      </c>
      <c r="BP300" s="22">
        <f t="shared" si="54"/>
        <v>184.5</v>
      </c>
      <c r="BQ300" s="22" t="str">
        <f t="shared" si="55"/>
        <v>ok</v>
      </c>
      <c r="BR300" s="56"/>
    </row>
    <row r="301" spans="1:70" s="12" customFormat="1" ht="24.95" customHeight="1" x14ac:dyDescent="0.25">
      <c r="A301" s="4" t="s">
        <v>619</v>
      </c>
      <c r="B301" s="15" t="s">
        <v>620</v>
      </c>
      <c r="C301" s="5">
        <v>70018</v>
      </c>
      <c r="D301" s="5" t="s">
        <v>733</v>
      </c>
      <c r="E301" s="16" t="s">
        <v>850</v>
      </c>
      <c r="F301" s="16">
        <v>2</v>
      </c>
      <c r="G301" s="16">
        <v>1</v>
      </c>
      <c r="H301" s="16" t="s">
        <v>26</v>
      </c>
      <c r="I301" s="16" t="s">
        <v>14</v>
      </c>
      <c r="J301" s="17"/>
      <c r="K301" s="17"/>
      <c r="L301" s="17"/>
      <c r="M301" s="17"/>
      <c r="N301" s="17"/>
      <c r="O301" s="13"/>
      <c r="P301" s="13"/>
      <c r="Q301" s="13">
        <v>25</v>
      </c>
      <c r="R301" s="6">
        <v>22</v>
      </c>
      <c r="S301" s="7">
        <v>0.09</v>
      </c>
      <c r="T301" s="62">
        <v>33</v>
      </c>
      <c r="U301" s="16">
        <v>46.800000000000004</v>
      </c>
      <c r="V301" s="16"/>
      <c r="W301" s="16">
        <v>120</v>
      </c>
      <c r="X301" s="18">
        <v>120</v>
      </c>
      <c r="Y301" s="16">
        <f t="shared" si="56"/>
        <v>0</v>
      </c>
      <c r="Z301" s="16">
        <f t="shared" si="57"/>
        <v>46.8</v>
      </c>
      <c r="AA301" s="4">
        <v>0</v>
      </c>
      <c r="AB301" s="4">
        <v>0</v>
      </c>
      <c r="AC301" s="4">
        <v>45</v>
      </c>
      <c r="AD301" s="4">
        <v>0</v>
      </c>
      <c r="AE301" s="19">
        <v>45</v>
      </c>
      <c r="AF301" s="13">
        <f t="shared" si="58"/>
        <v>3</v>
      </c>
      <c r="AG301" s="20">
        <f t="shared" si="50"/>
        <v>46033</v>
      </c>
      <c r="AH301" s="13"/>
      <c r="AI301" s="13"/>
      <c r="AJ301" s="13"/>
      <c r="AK301" s="13"/>
      <c r="AL301" s="13"/>
      <c r="AM301" s="13"/>
      <c r="AN301" s="13"/>
      <c r="AO301" s="13">
        <v>33</v>
      </c>
      <c r="AP301" s="13"/>
      <c r="AQ301" s="13"/>
      <c r="AR301" s="13"/>
      <c r="AS301" s="13"/>
      <c r="AT301" s="13"/>
      <c r="AU301" s="13"/>
      <c r="AV301" s="21"/>
      <c r="AW301" s="13"/>
      <c r="AX301" s="13"/>
      <c r="AY301" s="13"/>
      <c r="AZ301" s="13"/>
      <c r="BA301" s="13">
        <v>13.8</v>
      </c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>
        <f t="shared" si="51"/>
        <v>7.1054273576010019E-15</v>
      </c>
      <c r="BN301" s="22">
        <f t="shared" si="52"/>
        <v>33</v>
      </c>
      <c r="BO301" s="23" t="str">
        <f t="shared" si="53"/>
        <v>ok</v>
      </c>
      <c r="BP301" s="22">
        <f t="shared" si="54"/>
        <v>120</v>
      </c>
      <c r="BQ301" s="22" t="str">
        <f t="shared" si="55"/>
        <v>ok</v>
      </c>
      <c r="BR301" s="56"/>
    </row>
    <row r="302" spans="1:70" s="12" customFormat="1" ht="24.95" customHeight="1" x14ac:dyDescent="0.25">
      <c r="A302" s="4" t="s">
        <v>621</v>
      </c>
      <c r="B302" s="15" t="s">
        <v>622</v>
      </c>
      <c r="C302" s="5">
        <v>70018</v>
      </c>
      <c r="D302" s="5" t="s">
        <v>733</v>
      </c>
      <c r="E302" s="16" t="s">
        <v>992</v>
      </c>
      <c r="F302" s="16">
        <v>1</v>
      </c>
      <c r="G302" s="16">
        <v>0</v>
      </c>
      <c r="H302" s="16" t="s">
        <v>26</v>
      </c>
      <c r="I302" s="16" t="s">
        <v>14</v>
      </c>
      <c r="J302" s="17"/>
      <c r="K302" s="17"/>
      <c r="L302" s="17"/>
      <c r="M302" s="17"/>
      <c r="N302" s="17"/>
      <c r="O302" s="13"/>
      <c r="P302" s="13"/>
      <c r="Q302" s="13">
        <v>17</v>
      </c>
      <c r="R302" s="6">
        <v>14</v>
      </c>
      <c r="S302" s="7">
        <v>0.09</v>
      </c>
      <c r="T302" s="62">
        <v>33</v>
      </c>
      <c r="U302" s="16">
        <v>97.2</v>
      </c>
      <c r="V302" s="16"/>
      <c r="W302" s="16">
        <v>75</v>
      </c>
      <c r="X302" s="18">
        <v>75</v>
      </c>
      <c r="Y302" s="16">
        <f t="shared" si="56"/>
        <v>0</v>
      </c>
      <c r="Z302" s="16">
        <f t="shared" si="57"/>
        <v>97.2</v>
      </c>
      <c r="AA302" s="4">
        <v>33</v>
      </c>
      <c r="AB302" s="4">
        <v>10</v>
      </c>
      <c r="AC302" s="4">
        <v>0</v>
      </c>
      <c r="AD302" s="4">
        <v>33</v>
      </c>
      <c r="AE302" s="32">
        <v>76</v>
      </c>
      <c r="AF302" s="13">
        <f t="shared" si="58"/>
        <v>3</v>
      </c>
      <c r="AG302" s="20">
        <f t="shared" si="50"/>
        <v>46034</v>
      </c>
      <c r="AH302" s="13"/>
      <c r="AI302" s="13">
        <v>33</v>
      </c>
      <c r="AJ302" s="13"/>
      <c r="AK302" s="13"/>
      <c r="AL302" s="13"/>
      <c r="AM302" s="13">
        <v>33</v>
      </c>
      <c r="AN302" s="13">
        <v>31.2</v>
      </c>
      <c r="AO302" s="13"/>
      <c r="AP302" s="13"/>
      <c r="AQ302" s="13"/>
      <c r="AR302" s="13"/>
      <c r="AS302" s="13"/>
      <c r="AT302" s="13"/>
      <c r="AU302" s="13"/>
      <c r="AV302" s="21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>
        <f t="shared" si="51"/>
        <v>0</v>
      </c>
      <c r="BN302" s="22">
        <f t="shared" si="52"/>
        <v>33</v>
      </c>
      <c r="BO302" s="23" t="str">
        <f t="shared" si="53"/>
        <v>ok</v>
      </c>
      <c r="BP302" s="22">
        <f t="shared" si="54"/>
        <v>75</v>
      </c>
      <c r="BQ302" s="22" t="str">
        <f t="shared" si="55"/>
        <v>ok</v>
      </c>
      <c r="BR302" s="56"/>
    </row>
    <row r="303" spans="1:70" s="12" customFormat="1" ht="24.95" customHeight="1" x14ac:dyDescent="0.25">
      <c r="A303" s="4" t="s">
        <v>623</v>
      </c>
      <c r="B303" s="15" t="s">
        <v>624</v>
      </c>
      <c r="C303" s="5">
        <v>70018</v>
      </c>
      <c r="D303" s="5" t="s">
        <v>733</v>
      </c>
      <c r="E303" s="16" t="s">
        <v>853</v>
      </c>
      <c r="F303" s="16">
        <v>2</v>
      </c>
      <c r="G303" s="16">
        <v>0</v>
      </c>
      <c r="H303" s="16" t="s">
        <v>26</v>
      </c>
      <c r="I303" s="16" t="s">
        <v>14</v>
      </c>
      <c r="J303" s="17"/>
      <c r="K303" s="17"/>
      <c r="L303" s="17"/>
      <c r="M303" s="17"/>
      <c r="N303" s="17"/>
      <c r="O303" s="13"/>
      <c r="P303" s="13"/>
      <c r="Q303" s="13">
        <v>164</v>
      </c>
      <c r="R303" s="6">
        <v>143</v>
      </c>
      <c r="S303" s="7">
        <v>0.09</v>
      </c>
      <c r="T303" s="62">
        <v>33</v>
      </c>
      <c r="U303" s="16">
        <v>68.400000000000006</v>
      </c>
      <c r="V303" s="16"/>
      <c r="W303" s="16">
        <v>67.5</v>
      </c>
      <c r="X303" s="18">
        <v>67.5</v>
      </c>
      <c r="Y303" s="16">
        <f t="shared" si="56"/>
        <v>-2.4000000000000057</v>
      </c>
      <c r="Z303" s="16">
        <f t="shared" si="57"/>
        <v>66</v>
      </c>
      <c r="AA303" s="4">
        <v>0</v>
      </c>
      <c r="AB303" s="4">
        <v>33</v>
      </c>
      <c r="AC303" s="4">
        <v>10</v>
      </c>
      <c r="AD303" s="4">
        <v>0</v>
      </c>
      <c r="AE303" s="32">
        <v>43</v>
      </c>
      <c r="AF303" s="13">
        <f t="shared" si="58"/>
        <v>3</v>
      </c>
      <c r="AG303" s="20">
        <f t="shared" si="50"/>
        <v>46033</v>
      </c>
      <c r="AH303" s="13">
        <v>33</v>
      </c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>
        <v>33</v>
      </c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>
        <f t="shared" si="51"/>
        <v>2.4000000000000057</v>
      </c>
      <c r="BN303" s="22">
        <f t="shared" si="52"/>
        <v>33</v>
      </c>
      <c r="BO303" s="23" t="str">
        <f t="shared" si="53"/>
        <v>ok</v>
      </c>
      <c r="BP303" s="22">
        <f t="shared" si="54"/>
        <v>67.5</v>
      </c>
      <c r="BQ303" s="22" t="str">
        <f t="shared" si="55"/>
        <v>ok</v>
      </c>
      <c r="BR303" s="56" t="s">
        <v>28</v>
      </c>
    </row>
    <row r="304" spans="1:70" s="12" customFormat="1" ht="24.95" customHeight="1" x14ac:dyDescent="0.25">
      <c r="A304" s="4" t="s">
        <v>625</v>
      </c>
      <c r="B304" s="15" t="s">
        <v>626</v>
      </c>
      <c r="C304" s="5">
        <v>70018</v>
      </c>
      <c r="D304" s="5" t="s">
        <v>733</v>
      </c>
      <c r="E304" s="16" t="s">
        <v>855</v>
      </c>
      <c r="F304" s="16">
        <v>2</v>
      </c>
      <c r="G304" s="16">
        <v>0</v>
      </c>
      <c r="H304" s="16" t="s">
        <v>26</v>
      </c>
      <c r="I304" s="16" t="s">
        <v>14</v>
      </c>
      <c r="J304" s="17"/>
      <c r="K304" s="17"/>
      <c r="L304" s="17"/>
      <c r="M304" s="17"/>
      <c r="N304" s="17"/>
      <c r="O304" s="13"/>
      <c r="P304" s="13"/>
      <c r="Q304" s="13">
        <v>40</v>
      </c>
      <c r="R304" s="6">
        <v>9</v>
      </c>
      <c r="S304" s="7">
        <v>0.08</v>
      </c>
      <c r="T304" s="62">
        <v>33</v>
      </c>
      <c r="U304" s="16">
        <v>19.8</v>
      </c>
      <c r="V304" s="16"/>
      <c r="W304" s="16">
        <v>97.5</v>
      </c>
      <c r="X304" s="18">
        <v>97.5</v>
      </c>
      <c r="Y304" s="16">
        <f t="shared" si="56"/>
        <v>0</v>
      </c>
      <c r="Z304" s="16">
        <f t="shared" si="57"/>
        <v>19.8</v>
      </c>
      <c r="AA304" s="4">
        <v>0</v>
      </c>
      <c r="AB304" s="4">
        <v>0</v>
      </c>
      <c r="AC304" s="4">
        <v>0</v>
      </c>
      <c r="AD304" s="4">
        <v>0</v>
      </c>
      <c r="AE304" s="19">
        <v>0</v>
      </c>
      <c r="AF304" s="13">
        <f t="shared" si="58"/>
        <v>3</v>
      </c>
      <c r="AG304" s="20">
        <f t="shared" si="50"/>
        <v>46031</v>
      </c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>
        <v>19.8</v>
      </c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>
        <f t="shared" si="51"/>
        <v>0</v>
      </c>
      <c r="BN304" s="22">
        <f t="shared" si="52"/>
        <v>19.8</v>
      </c>
      <c r="BO304" s="23" t="str">
        <f t="shared" si="53"/>
        <v>ok</v>
      </c>
      <c r="BP304" s="22">
        <f t="shared" si="54"/>
        <v>97.5</v>
      </c>
      <c r="BQ304" s="22" t="str">
        <f t="shared" si="55"/>
        <v>ok</v>
      </c>
      <c r="BR304" s="56"/>
    </row>
    <row r="305" spans="1:70" s="12" customFormat="1" ht="24.95" customHeight="1" x14ac:dyDescent="0.25">
      <c r="A305" s="4" t="s">
        <v>627</v>
      </c>
      <c r="B305" s="15" t="s">
        <v>628</v>
      </c>
      <c r="C305" s="5">
        <v>70018</v>
      </c>
      <c r="D305" s="5" t="s">
        <v>733</v>
      </c>
      <c r="E305" s="16" t="s">
        <v>856</v>
      </c>
      <c r="F305" s="16">
        <v>2</v>
      </c>
      <c r="G305" s="16">
        <v>0</v>
      </c>
      <c r="H305" s="16" t="s">
        <v>26</v>
      </c>
      <c r="I305" s="16" t="s">
        <v>14</v>
      </c>
      <c r="J305" s="17"/>
      <c r="K305" s="17"/>
      <c r="L305" s="17"/>
      <c r="M305" s="17"/>
      <c r="N305" s="17"/>
      <c r="O305" s="13"/>
      <c r="P305" s="13"/>
      <c r="Q305" s="13">
        <v>176</v>
      </c>
      <c r="R305" s="6">
        <v>153</v>
      </c>
      <c r="S305" s="7">
        <v>0.09</v>
      </c>
      <c r="T305" s="62">
        <v>33</v>
      </c>
      <c r="U305" s="16">
        <v>68.400000000000006</v>
      </c>
      <c r="V305" s="16"/>
      <c r="W305" s="16">
        <v>73.5</v>
      </c>
      <c r="X305" s="18">
        <v>73.5</v>
      </c>
      <c r="Y305" s="16">
        <f t="shared" si="56"/>
        <v>-2.4000000000000057</v>
      </c>
      <c r="Z305" s="16">
        <f t="shared" si="57"/>
        <v>66</v>
      </c>
      <c r="AA305" s="4">
        <v>0</v>
      </c>
      <c r="AB305" s="4">
        <v>0</v>
      </c>
      <c r="AC305" s="4">
        <v>0</v>
      </c>
      <c r="AD305" s="4">
        <v>0</v>
      </c>
      <c r="AE305" s="32">
        <v>0</v>
      </c>
      <c r="AF305" s="13">
        <f t="shared" si="58"/>
        <v>3</v>
      </c>
      <c r="AG305" s="20">
        <f t="shared" si="50"/>
        <v>46031</v>
      </c>
      <c r="AH305" s="24"/>
      <c r="AI305" s="24"/>
      <c r="AJ305" s="24"/>
      <c r="AK305" s="24"/>
      <c r="AL305" s="24"/>
      <c r="AM305" s="24"/>
      <c r="AN305" s="24"/>
      <c r="AO305" s="24"/>
      <c r="AP305" s="24"/>
      <c r="AQ305" s="24">
        <v>33</v>
      </c>
      <c r="AR305" s="24"/>
      <c r="AS305" s="24"/>
      <c r="AT305" s="24"/>
      <c r="AU305" s="24"/>
      <c r="AV305" s="24"/>
      <c r="AW305" s="24"/>
      <c r="AX305" s="24"/>
      <c r="AY305" s="13">
        <v>33</v>
      </c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>
        <f t="shared" si="51"/>
        <v>2.4000000000000057</v>
      </c>
      <c r="BN305" s="22">
        <f t="shared" si="52"/>
        <v>33</v>
      </c>
      <c r="BO305" s="23" t="str">
        <f t="shared" si="53"/>
        <v>ok</v>
      </c>
      <c r="BP305" s="22">
        <f t="shared" si="54"/>
        <v>73.5</v>
      </c>
      <c r="BQ305" s="22" t="str">
        <f t="shared" si="55"/>
        <v>ok</v>
      </c>
      <c r="BR305" s="56" t="s">
        <v>28</v>
      </c>
    </row>
    <row r="306" spans="1:70" s="12" customFormat="1" ht="24.95" customHeight="1" x14ac:dyDescent="0.25">
      <c r="A306" s="4" t="s">
        <v>629</v>
      </c>
      <c r="B306" s="15" t="s">
        <v>630</v>
      </c>
      <c r="C306" s="5">
        <v>70018</v>
      </c>
      <c r="D306" s="5" t="s">
        <v>733</v>
      </c>
      <c r="E306" s="16" t="s">
        <v>857</v>
      </c>
      <c r="F306" s="16">
        <v>2</v>
      </c>
      <c r="G306" s="16">
        <v>0</v>
      </c>
      <c r="H306" s="16" t="s">
        <v>26</v>
      </c>
      <c r="I306" s="16" t="s">
        <v>14</v>
      </c>
      <c r="J306" s="17"/>
      <c r="K306" s="17"/>
      <c r="L306" s="17"/>
      <c r="M306" s="17"/>
      <c r="N306" s="17"/>
      <c r="O306" s="13"/>
      <c r="P306" s="13"/>
      <c r="Q306" s="13">
        <v>170</v>
      </c>
      <c r="R306" s="6">
        <v>148</v>
      </c>
      <c r="S306" s="7">
        <v>0.09</v>
      </c>
      <c r="T306" s="62">
        <v>33</v>
      </c>
      <c r="U306" s="16">
        <v>38.700000000000003</v>
      </c>
      <c r="V306" s="16"/>
      <c r="W306" s="16">
        <v>202.5</v>
      </c>
      <c r="X306" s="18">
        <v>202.5</v>
      </c>
      <c r="Y306" s="16">
        <f t="shared" si="56"/>
        <v>-5.7000000000000028</v>
      </c>
      <c r="Z306" s="16">
        <f t="shared" si="57"/>
        <v>33</v>
      </c>
      <c r="AA306" s="4">
        <v>0</v>
      </c>
      <c r="AB306" s="4">
        <v>10</v>
      </c>
      <c r="AC306" s="4">
        <v>0</v>
      </c>
      <c r="AD306" s="4">
        <v>33</v>
      </c>
      <c r="AE306" s="32">
        <v>43</v>
      </c>
      <c r="AF306" s="13">
        <f t="shared" si="58"/>
        <v>3</v>
      </c>
      <c r="AG306" s="20">
        <f t="shared" si="50"/>
        <v>46034</v>
      </c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21"/>
      <c r="AW306" s="13"/>
      <c r="AX306" s="13"/>
      <c r="AY306" s="13"/>
      <c r="AZ306" s="13"/>
      <c r="BA306" s="13"/>
      <c r="BB306" s="13">
        <v>33</v>
      </c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>
        <f t="shared" si="51"/>
        <v>5.7000000000000028</v>
      </c>
      <c r="BN306" s="22">
        <f t="shared" si="52"/>
        <v>33</v>
      </c>
      <c r="BO306" s="23" t="str">
        <f t="shared" si="53"/>
        <v>ok</v>
      </c>
      <c r="BP306" s="22">
        <f t="shared" si="54"/>
        <v>202.5</v>
      </c>
      <c r="BQ306" s="22" t="str">
        <f t="shared" si="55"/>
        <v>ok</v>
      </c>
      <c r="BR306" s="56" t="s">
        <v>28</v>
      </c>
    </row>
    <row r="307" spans="1:70" s="12" customFormat="1" ht="24.95" customHeight="1" x14ac:dyDescent="0.25">
      <c r="A307" s="4" t="s">
        <v>631</v>
      </c>
      <c r="B307" s="15" t="s">
        <v>632</v>
      </c>
      <c r="C307" s="5">
        <v>70019</v>
      </c>
      <c r="D307" s="5" t="s">
        <v>733</v>
      </c>
      <c r="E307" s="16" t="s">
        <v>859</v>
      </c>
      <c r="F307" s="16">
        <v>2</v>
      </c>
      <c r="G307" s="16">
        <v>0</v>
      </c>
      <c r="H307" s="16">
        <v>0</v>
      </c>
      <c r="I307" s="16" t="s">
        <v>15</v>
      </c>
      <c r="J307" s="17"/>
      <c r="K307" s="17"/>
      <c r="L307" s="17"/>
      <c r="M307" s="17"/>
      <c r="N307" s="17"/>
      <c r="O307" s="13"/>
      <c r="P307" s="13"/>
      <c r="Q307" s="13">
        <v>17</v>
      </c>
      <c r="R307" s="6">
        <v>14</v>
      </c>
      <c r="S307" s="7">
        <v>0.09</v>
      </c>
      <c r="T307" s="62">
        <v>33</v>
      </c>
      <c r="U307" s="16">
        <v>9</v>
      </c>
      <c r="V307" s="16"/>
      <c r="W307" s="16">
        <v>57</v>
      </c>
      <c r="X307" s="18">
        <v>57</v>
      </c>
      <c r="Y307" s="16">
        <f t="shared" si="56"/>
        <v>0</v>
      </c>
      <c r="Z307" s="16">
        <f t="shared" si="57"/>
        <v>9</v>
      </c>
      <c r="AA307" s="4">
        <v>0</v>
      </c>
      <c r="AB307" s="4">
        <v>0</v>
      </c>
      <c r="AC307" s="4">
        <v>0</v>
      </c>
      <c r="AD307" s="4">
        <v>0</v>
      </c>
      <c r="AE307" s="19">
        <v>0</v>
      </c>
      <c r="AF307" s="13">
        <f t="shared" si="58"/>
        <v>4</v>
      </c>
      <c r="AG307" s="20">
        <f t="shared" si="50"/>
        <v>46031</v>
      </c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21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>
        <v>9</v>
      </c>
      <c r="BI307" s="13"/>
      <c r="BJ307" s="13"/>
      <c r="BK307" s="13"/>
      <c r="BL307" s="13"/>
      <c r="BM307" s="13">
        <f t="shared" si="51"/>
        <v>0</v>
      </c>
      <c r="BN307" s="22">
        <f t="shared" si="52"/>
        <v>9</v>
      </c>
      <c r="BO307" s="23" t="str">
        <f t="shared" si="53"/>
        <v>ok</v>
      </c>
      <c r="BP307" s="22">
        <f t="shared" si="54"/>
        <v>57</v>
      </c>
      <c r="BQ307" s="22" t="str">
        <f t="shared" si="55"/>
        <v>ok</v>
      </c>
      <c r="BR307" s="56"/>
    </row>
    <row r="308" spans="1:70" s="12" customFormat="1" ht="24.95" customHeight="1" x14ac:dyDescent="0.25">
      <c r="A308" s="4" t="s">
        <v>633</v>
      </c>
      <c r="B308" s="15" t="s">
        <v>634</v>
      </c>
      <c r="C308" s="5">
        <v>70019</v>
      </c>
      <c r="D308" s="5" t="s">
        <v>733</v>
      </c>
      <c r="E308" s="16" t="s">
        <v>861</v>
      </c>
      <c r="F308" s="16">
        <v>2</v>
      </c>
      <c r="G308" s="16">
        <v>0</v>
      </c>
      <c r="H308" s="16">
        <v>0</v>
      </c>
      <c r="I308" s="16" t="s">
        <v>15</v>
      </c>
      <c r="J308" s="17"/>
      <c r="K308" s="17"/>
      <c r="L308" s="17"/>
      <c r="M308" s="17"/>
      <c r="N308" s="17"/>
      <c r="O308" s="13"/>
      <c r="P308" s="13"/>
      <c r="Q308" s="13">
        <v>202</v>
      </c>
      <c r="R308" s="6">
        <v>176</v>
      </c>
      <c r="S308" s="7">
        <v>0.09</v>
      </c>
      <c r="T308" s="62">
        <v>33</v>
      </c>
      <c r="U308" s="16">
        <v>33.300000000000004</v>
      </c>
      <c r="V308" s="16"/>
      <c r="W308" s="16">
        <v>69</v>
      </c>
      <c r="X308" s="18">
        <v>69</v>
      </c>
      <c r="Y308" s="16">
        <f t="shared" si="56"/>
        <v>-0.30000000000000426</v>
      </c>
      <c r="Z308" s="16">
        <f t="shared" si="57"/>
        <v>33</v>
      </c>
      <c r="AA308" s="4">
        <v>0</v>
      </c>
      <c r="AB308" s="4">
        <v>0</v>
      </c>
      <c r="AC308" s="4">
        <v>0</v>
      </c>
      <c r="AD308" s="4">
        <v>0</v>
      </c>
      <c r="AE308" s="32">
        <v>0</v>
      </c>
      <c r="AF308" s="13">
        <f t="shared" si="58"/>
        <v>4</v>
      </c>
      <c r="AG308" s="20">
        <f t="shared" si="50"/>
        <v>46031</v>
      </c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21"/>
      <c r="AW308" s="13"/>
      <c r="AX308" s="13"/>
      <c r="AY308" s="13"/>
      <c r="AZ308" s="13"/>
      <c r="BA308" s="13"/>
      <c r="BB308" s="13"/>
      <c r="BC308" s="13">
        <v>33</v>
      </c>
      <c r="BD308" s="13"/>
      <c r="BE308" s="13"/>
      <c r="BF308" s="13"/>
      <c r="BG308" s="13"/>
      <c r="BH308" s="13"/>
      <c r="BI308" s="13"/>
      <c r="BJ308" s="13"/>
      <c r="BK308" s="13"/>
      <c r="BL308" s="13"/>
      <c r="BM308" s="13">
        <f t="shared" si="51"/>
        <v>0.30000000000000426</v>
      </c>
      <c r="BN308" s="22">
        <f t="shared" si="52"/>
        <v>33</v>
      </c>
      <c r="BO308" s="23" t="str">
        <f t="shared" si="53"/>
        <v>ok</v>
      </c>
      <c r="BP308" s="22">
        <f t="shared" si="54"/>
        <v>69</v>
      </c>
      <c r="BQ308" s="22" t="str">
        <f t="shared" si="55"/>
        <v>ok</v>
      </c>
      <c r="BR308" s="56" t="s">
        <v>28</v>
      </c>
    </row>
    <row r="309" spans="1:70" s="12" customFormat="1" ht="24.95" customHeight="1" x14ac:dyDescent="0.25">
      <c r="A309" s="4" t="s">
        <v>635</v>
      </c>
      <c r="B309" s="15" t="s">
        <v>636</v>
      </c>
      <c r="C309" s="5">
        <v>70019</v>
      </c>
      <c r="D309" s="5" t="s">
        <v>733</v>
      </c>
      <c r="E309" s="16" t="s">
        <v>864</v>
      </c>
      <c r="F309" s="16">
        <v>2</v>
      </c>
      <c r="G309" s="16">
        <v>0</v>
      </c>
      <c r="H309" s="16">
        <v>0</v>
      </c>
      <c r="I309" s="16" t="s">
        <v>15</v>
      </c>
      <c r="J309" s="17"/>
      <c r="K309" s="17"/>
      <c r="L309" s="17"/>
      <c r="M309" s="17"/>
      <c r="N309" s="17"/>
      <c r="O309" s="13"/>
      <c r="P309" s="13"/>
      <c r="Q309" s="13">
        <v>183</v>
      </c>
      <c r="R309" s="6">
        <v>159</v>
      </c>
      <c r="S309" s="7">
        <v>0.09</v>
      </c>
      <c r="T309" s="62">
        <v>33</v>
      </c>
      <c r="U309" s="16">
        <v>11.700000000000001</v>
      </c>
      <c r="V309" s="16"/>
      <c r="W309" s="16">
        <v>55.5</v>
      </c>
      <c r="X309" s="18">
        <v>55.5</v>
      </c>
      <c r="Y309" s="16">
        <f t="shared" si="56"/>
        <v>0</v>
      </c>
      <c r="Z309" s="16">
        <f t="shared" si="57"/>
        <v>11.7</v>
      </c>
      <c r="AA309" s="4">
        <v>0</v>
      </c>
      <c r="AB309" s="4">
        <v>0</v>
      </c>
      <c r="AC309" s="4">
        <v>0</v>
      </c>
      <c r="AD309" s="4">
        <v>0</v>
      </c>
      <c r="AE309" s="32">
        <v>0</v>
      </c>
      <c r="AF309" s="13">
        <f t="shared" si="58"/>
        <v>4</v>
      </c>
      <c r="AG309" s="20">
        <f t="shared" si="50"/>
        <v>46031</v>
      </c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21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>
        <v>11.7</v>
      </c>
      <c r="BG309" s="13"/>
      <c r="BH309" s="13"/>
      <c r="BI309" s="13"/>
      <c r="BJ309" s="13"/>
      <c r="BK309" s="13"/>
      <c r="BL309" s="13"/>
      <c r="BM309" s="13">
        <f t="shared" si="51"/>
        <v>1.7763568394002505E-15</v>
      </c>
      <c r="BN309" s="22">
        <f t="shared" si="52"/>
        <v>11.7</v>
      </c>
      <c r="BO309" s="23" t="str">
        <f t="shared" si="53"/>
        <v>ok</v>
      </c>
      <c r="BP309" s="22">
        <f t="shared" si="54"/>
        <v>55.5</v>
      </c>
      <c r="BQ309" s="22" t="str">
        <f t="shared" si="55"/>
        <v>ok</v>
      </c>
      <c r="BR309" s="56"/>
    </row>
    <row r="310" spans="1:70" s="12" customFormat="1" ht="24.95" customHeight="1" x14ac:dyDescent="0.25">
      <c r="A310" s="4" t="s">
        <v>637</v>
      </c>
      <c r="B310" s="15" t="s">
        <v>638</v>
      </c>
      <c r="C310" s="5">
        <v>70019</v>
      </c>
      <c r="D310" s="5" t="s">
        <v>733</v>
      </c>
      <c r="E310" s="16" t="s">
        <v>865</v>
      </c>
      <c r="F310" s="16">
        <v>2</v>
      </c>
      <c r="G310" s="16">
        <v>0</v>
      </c>
      <c r="H310" s="16">
        <v>0</v>
      </c>
      <c r="I310" s="16" t="s">
        <v>15</v>
      </c>
      <c r="J310" s="17"/>
      <c r="K310" s="17"/>
      <c r="L310" s="17"/>
      <c r="M310" s="17"/>
      <c r="N310" s="17"/>
      <c r="O310" s="13"/>
      <c r="P310" s="13"/>
      <c r="Q310" s="13">
        <v>269</v>
      </c>
      <c r="R310" s="6">
        <v>234</v>
      </c>
      <c r="S310" s="7">
        <v>0.09</v>
      </c>
      <c r="T310" s="62">
        <v>33</v>
      </c>
      <c r="U310" s="16">
        <v>48.6</v>
      </c>
      <c r="V310" s="16"/>
      <c r="W310" s="16">
        <v>70.5</v>
      </c>
      <c r="X310" s="18">
        <v>70.5</v>
      </c>
      <c r="Y310" s="16">
        <f t="shared" si="56"/>
        <v>0</v>
      </c>
      <c r="Z310" s="16">
        <f t="shared" si="57"/>
        <v>48.6</v>
      </c>
      <c r="AA310" s="4">
        <v>0</v>
      </c>
      <c r="AB310" s="4">
        <v>0</v>
      </c>
      <c r="AC310" s="4">
        <v>0</v>
      </c>
      <c r="AD310" s="4">
        <v>0</v>
      </c>
      <c r="AE310" s="19">
        <v>0</v>
      </c>
      <c r="AF310" s="13">
        <f t="shared" si="58"/>
        <v>4</v>
      </c>
      <c r="AG310" s="20">
        <f t="shared" si="50"/>
        <v>46031</v>
      </c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21"/>
      <c r="AW310" s="13"/>
      <c r="AX310" s="13"/>
      <c r="AY310" s="13"/>
      <c r="AZ310" s="13">
        <v>33</v>
      </c>
      <c r="BA310" s="13"/>
      <c r="BB310" s="13"/>
      <c r="BC310" s="13">
        <v>15.6</v>
      </c>
      <c r="BD310" s="13"/>
      <c r="BE310" s="13"/>
      <c r="BF310" s="13"/>
      <c r="BG310" s="13"/>
      <c r="BH310" s="13"/>
      <c r="BI310" s="13"/>
      <c r="BJ310" s="13"/>
      <c r="BK310" s="13"/>
      <c r="BL310" s="13"/>
      <c r="BM310" s="13">
        <f t="shared" si="51"/>
        <v>0</v>
      </c>
      <c r="BN310" s="22">
        <f t="shared" si="52"/>
        <v>33</v>
      </c>
      <c r="BO310" s="23" t="str">
        <f t="shared" si="53"/>
        <v>ok</v>
      </c>
      <c r="BP310" s="22">
        <f t="shared" si="54"/>
        <v>70.5</v>
      </c>
      <c r="BQ310" s="22" t="str">
        <f t="shared" si="55"/>
        <v>ok</v>
      </c>
      <c r="BR310" s="56"/>
    </row>
    <row r="311" spans="1:70" s="12" customFormat="1" ht="24.95" customHeight="1" x14ac:dyDescent="0.25">
      <c r="A311" s="4" t="s">
        <v>639</v>
      </c>
      <c r="B311" s="15" t="s">
        <v>640</v>
      </c>
      <c r="C311" s="5">
        <v>70019</v>
      </c>
      <c r="D311" s="5" t="s">
        <v>733</v>
      </c>
      <c r="E311" s="16" t="s">
        <v>993</v>
      </c>
      <c r="F311" s="16">
        <v>1</v>
      </c>
      <c r="G311" s="16">
        <v>0</v>
      </c>
      <c r="H311" s="16">
        <v>0</v>
      </c>
      <c r="I311" s="16" t="s">
        <v>15</v>
      </c>
      <c r="J311" s="17"/>
      <c r="K311" s="17"/>
      <c r="L311" s="17"/>
      <c r="M311" s="17"/>
      <c r="N311" s="17"/>
      <c r="O311" s="13"/>
      <c r="P311" s="13"/>
      <c r="Q311" s="13">
        <v>196</v>
      </c>
      <c r="R311" s="6">
        <v>170</v>
      </c>
      <c r="S311" s="7">
        <v>0.09</v>
      </c>
      <c r="T311" s="62">
        <v>33</v>
      </c>
      <c r="U311" s="16">
        <v>9</v>
      </c>
      <c r="V311" s="16"/>
      <c r="W311" s="16">
        <v>63</v>
      </c>
      <c r="X311" s="18">
        <v>63</v>
      </c>
      <c r="Y311" s="16">
        <f t="shared" si="56"/>
        <v>0</v>
      </c>
      <c r="Z311" s="16">
        <f t="shared" si="57"/>
        <v>9</v>
      </c>
      <c r="AA311" s="4">
        <v>0</v>
      </c>
      <c r="AB311" s="4">
        <v>0</v>
      </c>
      <c r="AC311" s="4">
        <v>0</v>
      </c>
      <c r="AD311" s="4">
        <v>0</v>
      </c>
      <c r="AE311" s="32">
        <v>0</v>
      </c>
      <c r="AF311" s="13">
        <f t="shared" si="58"/>
        <v>4</v>
      </c>
      <c r="AG311" s="20">
        <f t="shared" si="50"/>
        <v>46031</v>
      </c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21"/>
      <c r="AW311" s="13"/>
      <c r="AX311" s="13"/>
      <c r="AY311" s="13"/>
      <c r="AZ311" s="13"/>
      <c r="BA311" s="13"/>
      <c r="BB311" s="13"/>
      <c r="BC311" s="13"/>
      <c r="BD311" s="13">
        <v>9</v>
      </c>
      <c r="BE311" s="13"/>
      <c r="BF311" s="13"/>
      <c r="BG311" s="13"/>
      <c r="BH311" s="13"/>
      <c r="BI311" s="13"/>
      <c r="BJ311" s="13"/>
      <c r="BK311" s="13"/>
      <c r="BL311" s="13"/>
      <c r="BM311" s="13">
        <f t="shared" si="51"/>
        <v>0</v>
      </c>
      <c r="BN311" s="22">
        <f t="shared" si="52"/>
        <v>9</v>
      </c>
      <c r="BO311" s="23" t="str">
        <f t="shared" si="53"/>
        <v>ok</v>
      </c>
      <c r="BP311" s="22">
        <f t="shared" si="54"/>
        <v>63</v>
      </c>
      <c r="BQ311" s="22" t="str">
        <f t="shared" si="55"/>
        <v>ok</v>
      </c>
      <c r="BR311" s="56"/>
    </row>
    <row r="312" spans="1:70" s="12" customFormat="1" ht="24.95" customHeight="1" x14ac:dyDescent="0.25">
      <c r="A312" s="4" t="s">
        <v>641</v>
      </c>
      <c r="B312" s="15" t="s">
        <v>642</v>
      </c>
      <c r="C312" s="5">
        <v>70019</v>
      </c>
      <c r="D312" s="5" t="s">
        <v>733</v>
      </c>
      <c r="E312" s="16" t="s">
        <v>866</v>
      </c>
      <c r="F312" s="16">
        <v>2</v>
      </c>
      <c r="G312" s="16">
        <v>0</v>
      </c>
      <c r="H312" s="16">
        <v>0</v>
      </c>
      <c r="I312" s="16" t="s">
        <v>15</v>
      </c>
      <c r="J312" s="17"/>
      <c r="K312" s="17"/>
      <c r="L312" s="17"/>
      <c r="M312" s="17"/>
      <c r="N312" s="17"/>
      <c r="O312" s="13"/>
      <c r="P312" s="13"/>
      <c r="Q312" s="13">
        <v>315</v>
      </c>
      <c r="R312" s="6">
        <v>274</v>
      </c>
      <c r="S312" s="7">
        <v>0.09</v>
      </c>
      <c r="T312" s="62">
        <v>33</v>
      </c>
      <c r="U312" s="16">
        <v>67.5</v>
      </c>
      <c r="V312" s="16"/>
      <c r="W312" s="16">
        <v>178.5</v>
      </c>
      <c r="X312" s="18">
        <v>178.5</v>
      </c>
      <c r="Y312" s="16">
        <f t="shared" si="56"/>
        <v>-1.5</v>
      </c>
      <c r="Z312" s="16">
        <f t="shared" si="57"/>
        <v>66</v>
      </c>
      <c r="AA312" s="4">
        <v>0</v>
      </c>
      <c r="AB312" s="4">
        <v>0</v>
      </c>
      <c r="AC312" s="4">
        <v>0</v>
      </c>
      <c r="AD312" s="4">
        <v>0</v>
      </c>
      <c r="AE312" s="32">
        <v>0</v>
      </c>
      <c r="AF312" s="13">
        <f t="shared" si="58"/>
        <v>4</v>
      </c>
      <c r="AG312" s="20">
        <f t="shared" si="50"/>
        <v>46031</v>
      </c>
      <c r="AH312" s="13">
        <v>33</v>
      </c>
      <c r="AI312" s="13"/>
      <c r="AJ312" s="13"/>
      <c r="AK312" s="13">
        <v>33</v>
      </c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21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>
        <f t="shared" si="51"/>
        <v>1.5</v>
      </c>
      <c r="BN312" s="22">
        <f t="shared" si="52"/>
        <v>33</v>
      </c>
      <c r="BO312" s="23" t="str">
        <f t="shared" si="53"/>
        <v>ok</v>
      </c>
      <c r="BP312" s="22">
        <f t="shared" si="54"/>
        <v>178.5</v>
      </c>
      <c r="BQ312" s="22" t="str">
        <f t="shared" si="55"/>
        <v>ok</v>
      </c>
      <c r="BR312" s="56" t="s">
        <v>28</v>
      </c>
    </row>
    <row r="313" spans="1:70" s="12" customFormat="1" ht="24.95" customHeight="1" x14ac:dyDescent="0.25">
      <c r="A313" s="4" t="s">
        <v>643</v>
      </c>
      <c r="B313" s="15" t="s">
        <v>644</v>
      </c>
      <c r="C313" s="5">
        <v>70019</v>
      </c>
      <c r="D313" s="5" t="s">
        <v>733</v>
      </c>
      <c r="E313" s="16" t="s">
        <v>868</v>
      </c>
      <c r="F313" s="16">
        <v>2</v>
      </c>
      <c r="G313" s="16">
        <v>0</v>
      </c>
      <c r="H313" s="16">
        <v>0</v>
      </c>
      <c r="I313" s="16" t="s">
        <v>15</v>
      </c>
      <c r="J313" s="17"/>
      <c r="K313" s="17"/>
      <c r="L313" s="17"/>
      <c r="M313" s="17"/>
      <c r="N313" s="17"/>
      <c r="O313" s="13"/>
      <c r="P313" s="13"/>
      <c r="Q313" s="13">
        <v>259</v>
      </c>
      <c r="R313" s="6">
        <v>225</v>
      </c>
      <c r="S313" s="7">
        <v>0.09</v>
      </c>
      <c r="T313" s="62">
        <v>33</v>
      </c>
      <c r="U313" s="16">
        <v>48.6</v>
      </c>
      <c r="V313" s="16"/>
      <c r="W313" s="16">
        <v>99</v>
      </c>
      <c r="X313" s="18">
        <v>99</v>
      </c>
      <c r="Y313" s="16">
        <f t="shared" si="56"/>
        <v>-1.2000000000000028</v>
      </c>
      <c r="Z313" s="16">
        <f t="shared" si="57"/>
        <v>47.4</v>
      </c>
      <c r="AA313" s="4">
        <v>0</v>
      </c>
      <c r="AB313" s="4">
        <v>0</v>
      </c>
      <c r="AC313" s="4">
        <v>0</v>
      </c>
      <c r="AD313" s="4">
        <v>0</v>
      </c>
      <c r="AE313" s="19">
        <v>0</v>
      </c>
      <c r="AF313" s="13">
        <f t="shared" si="58"/>
        <v>4</v>
      </c>
      <c r="AG313" s="20">
        <f t="shared" si="50"/>
        <v>46031</v>
      </c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13"/>
      <c r="AZ313" s="13"/>
      <c r="BA313" s="13"/>
      <c r="BB313" s="13"/>
      <c r="BC313" s="13"/>
      <c r="BD313" s="13"/>
      <c r="BE313" s="13"/>
      <c r="BF313" s="13"/>
      <c r="BG313" s="13">
        <v>14.4</v>
      </c>
      <c r="BH313" s="13"/>
      <c r="BI313" s="13"/>
      <c r="BJ313" s="13">
        <v>33</v>
      </c>
      <c r="BK313" s="13"/>
      <c r="BL313" s="13"/>
      <c r="BM313" s="13">
        <f t="shared" si="51"/>
        <v>1.2000000000000028</v>
      </c>
      <c r="BN313" s="22">
        <f t="shared" si="52"/>
        <v>33</v>
      </c>
      <c r="BO313" s="23" t="str">
        <f t="shared" si="53"/>
        <v>ok</v>
      </c>
      <c r="BP313" s="22">
        <f t="shared" si="54"/>
        <v>99</v>
      </c>
      <c r="BQ313" s="22" t="str">
        <f t="shared" si="55"/>
        <v>ok</v>
      </c>
      <c r="BR313" s="56" t="s">
        <v>28</v>
      </c>
    </row>
    <row r="314" spans="1:70" s="12" customFormat="1" ht="24.95" customHeight="1" x14ac:dyDescent="0.25">
      <c r="A314" s="4" t="s">
        <v>645</v>
      </c>
      <c r="B314" s="15" t="s">
        <v>646</v>
      </c>
      <c r="C314" s="5">
        <v>70019</v>
      </c>
      <c r="D314" s="5" t="s">
        <v>733</v>
      </c>
      <c r="E314" s="16" t="s">
        <v>870</v>
      </c>
      <c r="F314" s="16">
        <v>2</v>
      </c>
      <c r="G314" s="16">
        <v>0</v>
      </c>
      <c r="H314" s="16">
        <v>0</v>
      </c>
      <c r="I314" s="16" t="s">
        <v>15</v>
      </c>
      <c r="J314" s="17"/>
      <c r="K314" s="17"/>
      <c r="L314" s="17"/>
      <c r="M314" s="17"/>
      <c r="N314" s="17"/>
      <c r="O314" s="13"/>
      <c r="P314" s="13"/>
      <c r="Q314" s="13">
        <v>156</v>
      </c>
      <c r="R314" s="6">
        <v>133</v>
      </c>
      <c r="S314" s="7">
        <v>0.09</v>
      </c>
      <c r="T314" s="62">
        <v>33</v>
      </c>
      <c r="U314" s="16">
        <v>72.900000000000006</v>
      </c>
      <c r="V314" s="16"/>
      <c r="W314" s="16">
        <v>130.5</v>
      </c>
      <c r="X314" s="18">
        <v>130.5</v>
      </c>
      <c r="Y314" s="16">
        <f t="shared" si="56"/>
        <v>-6.9000000000000057</v>
      </c>
      <c r="Z314" s="16">
        <f t="shared" si="57"/>
        <v>66</v>
      </c>
      <c r="AA314" s="4">
        <v>0</v>
      </c>
      <c r="AB314" s="4">
        <v>0</v>
      </c>
      <c r="AC314" s="4">
        <v>0</v>
      </c>
      <c r="AD314" s="4">
        <v>0</v>
      </c>
      <c r="AE314" s="32">
        <v>0</v>
      </c>
      <c r="AF314" s="13">
        <f t="shared" si="58"/>
        <v>4</v>
      </c>
      <c r="AG314" s="20">
        <f t="shared" si="50"/>
        <v>46031</v>
      </c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>
        <v>33</v>
      </c>
      <c r="AY314" s="13"/>
      <c r="AZ314" s="13"/>
      <c r="BA314" s="13"/>
      <c r="BB314" s="13"/>
      <c r="BC314" s="13"/>
      <c r="BD314" s="13"/>
      <c r="BE314" s="13"/>
      <c r="BF314" s="13"/>
      <c r="BG314" s="13"/>
      <c r="BH314" s="13">
        <v>33</v>
      </c>
      <c r="BI314" s="13"/>
      <c r="BJ314" s="13"/>
      <c r="BK314" s="13"/>
      <c r="BL314" s="13"/>
      <c r="BM314" s="13">
        <f t="shared" si="51"/>
        <v>6.9000000000000057</v>
      </c>
      <c r="BN314" s="22">
        <f t="shared" si="52"/>
        <v>33</v>
      </c>
      <c r="BO314" s="23" t="str">
        <f t="shared" si="53"/>
        <v>ok</v>
      </c>
      <c r="BP314" s="22">
        <f t="shared" si="54"/>
        <v>130.5</v>
      </c>
      <c r="BQ314" s="22" t="str">
        <f t="shared" si="55"/>
        <v>ok</v>
      </c>
      <c r="BR314" s="56" t="s">
        <v>28</v>
      </c>
    </row>
    <row r="315" spans="1:70" s="12" customFormat="1" ht="24.95" customHeight="1" x14ac:dyDescent="0.25">
      <c r="A315" s="4" t="s">
        <v>647</v>
      </c>
      <c r="B315" s="15" t="s">
        <v>648</v>
      </c>
      <c r="C315" s="5">
        <v>70019</v>
      </c>
      <c r="D315" s="5" t="s">
        <v>733</v>
      </c>
      <c r="E315" s="16" t="s">
        <v>994</v>
      </c>
      <c r="F315" s="16">
        <v>1</v>
      </c>
      <c r="G315" s="16">
        <v>0</v>
      </c>
      <c r="H315" s="16">
        <v>0</v>
      </c>
      <c r="I315" s="16" t="s">
        <v>15</v>
      </c>
      <c r="J315" s="17"/>
      <c r="K315" s="17"/>
      <c r="L315" s="17"/>
      <c r="M315" s="17"/>
      <c r="N315" s="17"/>
      <c r="O315" s="13"/>
      <c r="P315" s="13"/>
      <c r="Q315" s="13">
        <v>237</v>
      </c>
      <c r="R315" s="6">
        <v>203</v>
      </c>
      <c r="S315" s="7">
        <v>0.09</v>
      </c>
      <c r="T315" s="62">
        <v>33</v>
      </c>
      <c r="U315" s="16">
        <v>9.9</v>
      </c>
      <c r="V315" s="16"/>
      <c r="W315" s="16">
        <v>93</v>
      </c>
      <c r="X315" s="18">
        <v>93</v>
      </c>
      <c r="Y315" s="16">
        <f t="shared" si="56"/>
        <v>0</v>
      </c>
      <c r="Z315" s="16">
        <f t="shared" si="57"/>
        <v>9.9</v>
      </c>
      <c r="AA315" s="4">
        <v>0</v>
      </c>
      <c r="AB315" s="4">
        <v>0</v>
      </c>
      <c r="AC315" s="4">
        <v>0</v>
      </c>
      <c r="AD315" s="4">
        <v>0</v>
      </c>
      <c r="AE315" s="32">
        <v>0</v>
      </c>
      <c r="AF315" s="13">
        <f t="shared" si="58"/>
        <v>4</v>
      </c>
      <c r="AG315" s="20">
        <f t="shared" si="50"/>
        <v>46031</v>
      </c>
      <c r="AH315" s="24"/>
      <c r="AI315" s="24"/>
      <c r="AJ315" s="24"/>
      <c r="AK315" s="24"/>
      <c r="AL315" s="24"/>
      <c r="AM315" s="24"/>
      <c r="AN315" s="24"/>
      <c r="AO315" s="24"/>
      <c r="AP315" s="24"/>
      <c r="AQ315" s="24">
        <v>9.9</v>
      </c>
      <c r="AR315" s="24"/>
      <c r="AS315" s="24"/>
      <c r="AT315" s="24"/>
      <c r="AU315" s="24"/>
      <c r="AV315" s="24"/>
      <c r="AW315" s="24"/>
      <c r="AX315" s="24"/>
      <c r="AY315" s="13"/>
      <c r="AZ315" s="13"/>
      <c r="BA315" s="13"/>
      <c r="BB315" s="13"/>
      <c r="BC315" s="24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>
        <f t="shared" si="51"/>
        <v>0</v>
      </c>
      <c r="BN315" s="22">
        <f t="shared" si="52"/>
        <v>9.9</v>
      </c>
      <c r="BO315" s="23" t="str">
        <f t="shared" si="53"/>
        <v>ok</v>
      </c>
      <c r="BP315" s="22">
        <f t="shared" si="54"/>
        <v>93</v>
      </c>
      <c r="BQ315" s="22" t="str">
        <f t="shared" si="55"/>
        <v>ok</v>
      </c>
      <c r="BR315" s="56"/>
    </row>
    <row r="316" spans="1:70" s="12" customFormat="1" ht="24.95" customHeight="1" x14ac:dyDescent="0.25">
      <c r="A316" s="4" t="s">
        <v>649</v>
      </c>
      <c r="B316" s="15" t="s">
        <v>650</v>
      </c>
      <c r="C316" s="5">
        <v>70019</v>
      </c>
      <c r="D316" s="5" t="s">
        <v>733</v>
      </c>
      <c r="E316" s="16" t="s">
        <v>871</v>
      </c>
      <c r="F316" s="16">
        <v>2</v>
      </c>
      <c r="G316" s="16">
        <v>0</v>
      </c>
      <c r="H316" s="16">
        <v>0</v>
      </c>
      <c r="I316" s="16" t="s">
        <v>15</v>
      </c>
      <c r="J316" s="17"/>
      <c r="K316" s="17"/>
      <c r="L316" s="17"/>
      <c r="M316" s="17"/>
      <c r="N316" s="17"/>
      <c r="O316" s="13"/>
      <c r="P316" s="13"/>
      <c r="Q316" s="13">
        <v>278</v>
      </c>
      <c r="R316" s="6">
        <v>242</v>
      </c>
      <c r="S316" s="7">
        <v>0.09</v>
      </c>
      <c r="T316" s="62">
        <v>33</v>
      </c>
      <c r="U316" s="16">
        <v>92.7</v>
      </c>
      <c r="V316" s="16"/>
      <c r="W316" s="16">
        <v>219</v>
      </c>
      <c r="X316" s="18">
        <v>219</v>
      </c>
      <c r="Y316" s="16">
        <f t="shared" si="56"/>
        <v>0</v>
      </c>
      <c r="Z316" s="16">
        <f t="shared" si="57"/>
        <v>92.7</v>
      </c>
      <c r="AA316" s="4">
        <v>0</v>
      </c>
      <c r="AB316" s="4">
        <v>0</v>
      </c>
      <c r="AC316" s="4">
        <v>0</v>
      </c>
      <c r="AD316" s="4">
        <v>0</v>
      </c>
      <c r="AE316" s="19">
        <v>0</v>
      </c>
      <c r="AF316" s="13">
        <f t="shared" si="58"/>
        <v>4</v>
      </c>
      <c r="AG316" s="20">
        <f t="shared" si="50"/>
        <v>46031</v>
      </c>
      <c r="AH316" s="13"/>
      <c r="AI316" s="13"/>
      <c r="AJ316" s="13"/>
      <c r="AK316" s="13"/>
      <c r="AL316" s="13"/>
      <c r="AM316" s="13"/>
      <c r="AN316" s="13"/>
      <c r="AO316" s="13"/>
      <c r="AP316" s="13"/>
      <c r="AQ316" s="13">
        <v>33</v>
      </c>
      <c r="AR316" s="13">
        <v>33</v>
      </c>
      <c r="AS316" s="13">
        <v>26.7</v>
      </c>
      <c r="AT316" s="13"/>
      <c r="AU316" s="13"/>
      <c r="AV316" s="21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>
        <f t="shared" si="51"/>
        <v>0</v>
      </c>
      <c r="BN316" s="22">
        <f t="shared" si="52"/>
        <v>33</v>
      </c>
      <c r="BO316" s="23" t="str">
        <f t="shared" si="53"/>
        <v>ok</v>
      </c>
      <c r="BP316" s="22">
        <f t="shared" si="54"/>
        <v>219</v>
      </c>
      <c r="BQ316" s="22" t="str">
        <f t="shared" si="55"/>
        <v>ok</v>
      </c>
      <c r="BR316" s="56"/>
    </row>
    <row r="317" spans="1:70" s="12" customFormat="1" ht="24.95" customHeight="1" x14ac:dyDescent="0.25">
      <c r="A317" s="4" t="s">
        <v>651</v>
      </c>
      <c r="B317" s="15" t="s">
        <v>652</v>
      </c>
      <c r="C317" s="5">
        <v>70019</v>
      </c>
      <c r="D317" s="5" t="s">
        <v>733</v>
      </c>
      <c r="E317" s="16" t="s">
        <v>872</v>
      </c>
      <c r="F317" s="16">
        <v>4</v>
      </c>
      <c r="G317" s="16">
        <v>0</v>
      </c>
      <c r="H317" s="16">
        <v>0</v>
      </c>
      <c r="I317" s="16" t="s">
        <v>15</v>
      </c>
      <c r="J317" s="17"/>
      <c r="K317" s="17"/>
      <c r="L317" s="17"/>
      <c r="M317" s="17"/>
      <c r="N317" s="17"/>
      <c r="O317" s="13"/>
      <c r="P317" s="13"/>
      <c r="Q317" s="13">
        <v>291</v>
      </c>
      <c r="R317" s="6">
        <v>253</v>
      </c>
      <c r="S317" s="7">
        <v>0.09</v>
      </c>
      <c r="T317" s="62">
        <v>33</v>
      </c>
      <c r="U317" s="16">
        <v>9</v>
      </c>
      <c r="V317" s="16"/>
      <c r="W317" s="16">
        <v>135</v>
      </c>
      <c r="X317" s="18">
        <v>135</v>
      </c>
      <c r="Y317" s="16">
        <f t="shared" si="56"/>
        <v>0</v>
      </c>
      <c r="Z317" s="16">
        <f t="shared" si="57"/>
        <v>9</v>
      </c>
      <c r="AA317" s="4">
        <v>0</v>
      </c>
      <c r="AB317" s="4">
        <v>12</v>
      </c>
      <c r="AC317" s="4">
        <v>0</v>
      </c>
      <c r="AD317" s="4">
        <v>0</v>
      </c>
      <c r="AE317" s="32">
        <v>12</v>
      </c>
      <c r="AF317" s="13">
        <f t="shared" si="58"/>
        <v>4</v>
      </c>
      <c r="AG317" s="20">
        <f t="shared" si="50"/>
        <v>46033</v>
      </c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4">
        <v>9</v>
      </c>
      <c r="AS317" s="24"/>
      <c r="AT317" s="24"/>
      <c r="AU317" s="24"/>
      <c r="AV317" s="24"/>
      <c r="AW317" s="24"/>
      <c r="AX317" s="24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>
        <f t="shared" si="51"/>
        <v>0</v>
      </c>
      <c r="BN317" s="22">
        <f t="shared" si="52"/>
        <v>9</v>
      </c>
      <c r="BO317" s="23" t="str">
        <f t="shared" si="53"/>
        <v>ok</v>
      </c>
      <c r="BP317" s="22">
        <f t="shared" si="54"/>
        <v>135</v>
      </c>
      <c r="BQ317" s="22" t="str">
        <f t="shared" si="55"/>
        <v>ok</v>
      </c>
      <c r="BR317" s="56"/>
    </row>
    <row r="318" spans="1:70" s="12" customFormat="1" ht="24.95" customHeight="1" x14ac:dyDescent="0.25">
      <c r="A318" s="4" t="s">
        <v>653</v>
      </c>
      <c r="B318" s="15" t="s">
        <v>654</v>
      </c>
      <c r="C318" s="5">
        <v>70019</v>
      </c>
      <c r="D318" s="5" t="s">
        <v>733</v>
      </c>
      <c r="E318" s="16" t="s">
        <v>876</v>
      </c>
      <c r="F318" s="16">
        <v>2</v>
      </c>
      <c r="G318" s="16">
        <v>0</v>
      </c>
      <c r="H318" s="16">
        <v>0</v>
      </c>
      <c r="I318" s="16" t="s">
        <v>15</v>
      </c>
      <c r="J318" s="17"/>
      <c r="K318" s="17"/>
      <c r="L318" s="17"/>
      <c r="M318" s="17"/>
      <c r="N318" s="17"/>
      <c r="O318" s="13"/>
      <c r="P318" s="13"/>
      <c r="Q318" s="13">
        <v>258</v>
      </c>
      <c r="R318" s="6">
        <v>224</v>
      </c>
      <c r="S318" s="7">
        <v>0.09</v>
      </c>
      <c r="T318" s="62">
        <v>33</v>
      </c>
      <c r="U318" s="16">
        <v>85.5</v>
      </c>
      <c r="V318" s="16"/>
      <c r="W318" s="16">
        <v>148.5</v>
      </c>
      <c r="X318" s="18">
        <v>148.5</v>
      </c>
      <c r="Y318" s="16">
        <f t="shared" si="56"/>
        <v>0</v>
      </c>
      <c r="Z318" s="16">
        <f t="shared" si="57"/>
        <v>85.5</v>
      </c>
      <c r="AA318" s="4">
        <v>10</v>
      </c>
      <c r="AB318" s="4">
        <v>0</v>
      </c>
      <c r="AC318" s="4">
        <v>0</v>
      </c>
      <c r="AD318" s="4">
        <v>0</v>
      </c>
      <c r="AE318" s="32">
        <v>10</v>
      </c>
      <c r="AF318" s="13">
        <f t="shared" si="58"/>
        <v>4</v>
      </c>
      <c r="AG318" s="20">
        <f t="shared" si="50"/>
        <v>46032</v>
      </c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  <c r="AR318" s="24"/>
      <c r="AS318" s="24"/>
      <c r="AT318" s="24"/>
      <c r="AU318" s="24"/>
      <c r="AV318" s="24"/>
      <c r="AW318" s="24"/>
      <c r="AX318" s="24"/>
      <c r="AY318" s="13"/>
      <c r="AZ318" s="13"/>
      <c r="BA318" s="13"/>
      <c r="BB318" s="13"/>
      <c r="BC318" s="13">
        <v>33</v>
      </c>
      <c r="BD318" s="13">
        <v>33</v>
      </c>
      <c r="BE318" s="13">
        <v>19.5</v>
      </c>
      <c r="BF318" s="13"/>
      <c r="BG318" s="13"/>
      <c r="BH318" s="13"/>
      <c r="BI318" s="13"/>
      <c r="BJ318" s="13"/>
      <c r="BK318" s="13"/>
      <c r="BL318" s="13"/>
      <c r="BM318" s="13">
        <f t="shared" si="51"/>
        <v>0</v>
      </c>
      <c r="BN318" s="22">
        <f t="shared" si="52"/>
        <v>33</v>
      </c>
      <c r="BO318" s="23" t="str">
        <f t="shared" si="53"/>
        <v>ok</v>
      </c>
      <c r="BP318" s="22">
        <f t="shared" si="54"/>
        <v>148.5</v>
      </c>
      <c r="BQ318" s="22" t="str">
        <f t="shared" si="55"/>
        <v>ok</v>
      </c>
      <c r="BR318" s="56"/>
    </row>
    <row r="319" spans="1:70" s="12" customFormat="1" ht="24.95" customHeight="1" x14ac:dyDescent="0.25">
      <c r="A319" s="4" t="s">
        <v>655</v>
      </c>
      <c r="B319" s="15" t="s">
        <v>656</v>
      </c>
      <c r="C319" s="5">
        <v>70019</v>
      </c>
      <c r="D319" s="5" t="s">
        <v>733</v>
      </c>
      <c r="E319" s="16" t="s">
        <v>877</v>
      </c>
      <c r="F319" s="16">
        <v>2</v>
      </c>
      <c r="G319" s="16">
        <v>0</v>
      </c>
      <c r="H319" s="16">
        <v>0</v>
      </c>
      <c r="I319" s="16" t="s">
        <v>15</v>
      </c>
      <c r="J319" s="17"/>
      <c r="K319" s="17"/>
      <c r="L319" s="17"/>
      <c r="M319" s="17"/>
      <c r="N319" s="17"/>
      <c r="O319" s="13"/>
      <c r="P319" s="13"/>
      <c r="Q319" s="13">
        <v>535</v>
      </c>
      <c r="R319" s="6">
        <v>465</v>
      </c>
      <c r="S319" s="7">
        <v>0.09</v>
      </c>
      <c r="T319" s="62">
        <v>33</v>
      </c>
      <c r="U319" s="16">
        <v>70.2</v>
      </c>
      <c r="V319" s="16"/>
      <c r="W319" s="16">
        <v>168</v>
      </c>
      <c r="X319" s="18">
        <v>168</v>
      </c>
      <c r="Y319" s="16">
        <f t="shared" si="56"/>
        <v>-4.2000000000000028</v>
      </c>
      <c r="Z319" s="16">
        <f t="shared" si="57"/>
        <v>66</v>
      </c>
      <c r="AA319" s="4">
        <v>0</v>
      </c>
      <c r="AB319" s="4">
        <v>0</v>
      </c>
      <c r="AC319" s="4">
        <v>0</v>
      </c>
      <c r="AD319" s="4">
        <v>0</v>
      </c>
      <c r="AE319" s="19">
        <v>0</v>
      </c>
      <c r="AF319" s="13">
        <f t="shared" si="58"/>
        <v>4</v>
      </c>
      <c r="AG319" s="20">
        <f t="shared" si="50"/>
        <v>46031</v>
      </c>
      <c r="AH319" s="13"/>
      <c r="AI319" s="13"/>
      <c r="AJ319" s="13"/>
      <c r="AK319" s="13"/>
      <c r="AL319" s="13">
        <v>33</v>
      </c>
      <c r="AM319" s="13"/>
      <c r="AN319" s="13"/>
      <c r="AO319" s="13"/>
      <c r="AP319" s="13"/>
      <c r="AQ319" s="13"/>
      <c r="AR319" s="13"/>
      <c r="AS319" s="13">
        <v>33</v>
      </c>
      <c r="AT319" s="13"/>
      <c r="AU319" s="13"/>
      <c r="AV319" s="21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>
        <f t="shared" si="51"/>
        <v>4.2000000000000028</v>
      </c>
      <c r="BN319" s="22">
        <f t="shared" si="52"/>
        <v>33</v>
      </c>
      <c r="BO319" s="23" t="str">
        <f t="shared" si="53"/>
        <v>ok</v>
      </c>
      <c r="BP319" s="22">
        <f t="shared" si="54"/>
        <v>168</v>
      </c>
      <c r="BQ319" s="22" t="str">
        <f t="shared" si="55"/>
        <v>ok</v>
      </c>
      <c r="BR319" s="56" t="s">
        <v>28</v>
      </c>
    </row>
    <row r="320" spans="1:70" s="12" customFormat="1" ht="24.95" customHeight="1" x14ac:dyDescent="0.25">
      <c r="A320" s="4" t="s">
        <v>657</v>
      </c>
      <c r="B320" s="15" t="s">
        <v>658</v>
      </c>
      <c r="C320" s="5">
        <v>70019</v>
      </c>
      <c r="D320" s="5" t="s">
        <v>733</v>
      </c>
      <c r="E320" s="16" t="s">
        <v>878</v>
      </c>
      <c r="F320" s="16">
        <v>2</v>
      </c>
      <c r="G320" s="16">
        <v>0</v>
      </c>
      <c r="H320" s="16">
        <v>0</v>
      </c>
      <c r="I320" s="16" t="s">
        <v>15</v>
      </c>
      <c r="J320" s="17"/>
      <c r="K320" s="17"/>
      <c r="L320" s="17"/>
      <c r="M320" s="17"/>
      <c r="N320" s="17"/>
      <c r="O320" s="13"/>
      <c r="P320" s="13"/>
      <c r="Q320" s="13">
        <v>11</v>
      </c>
      <c r="R320" s="6">
        <v>9</v>
      </c>
      <c r="S320" s="7">
        <v>0.08</v>
      </c>
      <c r="T320" s="62">
        <v>33</v>
      </c>
      <c r="U320" s="16">
        <v>14.4</v>
      </c>
      <c r="V320" s="16"/>
      <c r="W320" s="16">
        <v>97.5</v>
      </c>
      <c r="X320" s="18">
        <v>97.5</v>
      </c>
      <c r="Y320" s="16">
        <f t="shared" si="56"/>
        <v>0</v>
      </c>
      <c r="Z320" s="16">
        <f t="shared" si="57"/>
        <v>14.4</v>
      </c>
      <c r="AA320" s="4">
        <v>0</v>
      </c>
      <c r="AB320" s="4">
        <v>0</v>
      </c>
      <c r="AC320" s="4">
        <v>0</v>
      </c>
      <c r="AD320" s="4">
        <v>0</v>
      </c>
      <c r="AE320" s="32">
        <v>0</v>
      </c>
      <c r="AF320" s="13">
        <f t="shared" si="58"/>
        <v>4</v>
      </c>
      <c r="AG320" s="20">
        <f t="shared" si="50"/>
        <v>46031</v>
      </c>
      <c r="AH320" s="24"/>
      <c r="AI320" s="24"/>
      <c r="AJ320" s="24">
        <v>14.4</v>
      </c>
      <c r="AK320" s="24"/>
      <c r="AL320" s="24"/>
      <c r="AM320" s="24"/>
      <c r="AN320" s="24"/>
      <c r="AO320" s="24"/>
      <c r="AP320" s="24"/>
      <c r="AQ320" s="24"/>
      <c r="AR320" s="24"/>
      <c r="AS320" s="24"/>
      <c r="AT320" s="24"/>
      <c r="AU320" s="24"/>
      <c r="AV320" s="24"/>
      <c r="AW320" s="24"/>
      <c r="AX320" s="24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>
        <f t="shared" si="51"/>
        <v>0</v>
      </c>
      <c r="BN320" s="22">
        <f t="shared" si="52"/>
        <v>14.4</v>
      </c>
      <c r="BO320" s="23" t="str">
        <f t="shared" si="53"/>
        <v>ok</v>
      </c>
      <c r="BP320" s="22">
        <f t="shared" si="54"/>
        <v>97.5</v>
      </c>
      <c r="BQ320" s="22" t="str">
        <f t="shared" si="55"/>
        <v>ok</v>
      </c>
      <c r="BR320" s="56"/>
    </row>
    <row r="321" spans="1:70" s="12" customFormat="1" ht="24.95" customHeight="1" x14ac:dyDescent="0.25">
      <c r="A321" s="4" t="s">
        <v>659</v>
      </c>
      <c r="B321" s="15" t="s">
        <v>660</v>
      </c>
      <c r="C321" s="5">
        <v>70019</v>
      </c>
      <c r="D321" s="5" t="s">
        <v>733</v>
      </c>
      <c r="E321" s="16" t="s">
        <v>882</v>
      </c>
      <c r="F321" s="16">
        <v>2</v>
      </c>
      <c r="G321" s="16">
        <v>0</v>
      </c>
      <c r="H321" s="16">
        <v>0</v>
      </c>
      <c r="I321" s="16" t="s">
        <v>15</v>
      </c>
      <c r="J321" s="17"/>
      <c r="K321" s="17"/>
      <c r="L321" s="17"/>
      <c r="M321" s="17"/>
      <c r="N321" s="17"/>
      <c r="O321" s="13"/>
      <c r="P321" s="13"/>
      <c r="Q321" s="13">
        <v>177</v>
      </c>
      <c r="R321" s="13">
        <v>154</v>
      </c>
      <c r="S321" s="7">
        <v>0.09</v>
      </c>
      <c r="T321" s="62">
        <v>33</v>
      </c>
      <c r="U321" s="16">
        <v>81.900000000000006</v>
      </c>
      <c r="V321" s="16"/>
      <c r="W321" s="16">
        <v>129</v>
      </c>
      <c r="X321" s="18">
        <v>129</v>
      </c>
      <c r="Y321" s="16">
        <f t="shared" si="56"/>
        <v>0</v>
      </c>
      <c r="Z321" s="16">
        <f t="shared" si="57"/>
        <v>81.900000000000006</v>
      </c>
      <c r="AA321" s="4">
        <v>32</v>
      </c>
      <c r="AB321" s="4">
        <v>0</v>
      </c>
      <c r="AC321" s="4">
        <v>0</v>
      </c>
      <c r="AD321" s="4">
        <v>0</v>
      </c>
      <c r="AE321" s="32">
        <v>32</v>
      </c>
      <c r="AF321" s="13">
        <f t="shared" si="58"/>
        <v>4</v>
      </c>
      <c r="AG321" s="20">
        <f t="shared" si="50"/>
        <v>46032</v>
      </c>
      <c r="AH321" s="24"/>
      <c r="AI321" s="24"/>
      <c r="AJ321" s="24"/>
      <c r="AK321" s="24">
        <v>15.9</v>
      </c>
      <c r="AL321" s="24"/>
      <c r="AM321" s="24"/>
      <c r="AN321" s="24"/>
      <c r="AO321" s="24"/>
      <c r="AP321" s="24"/>
      <c r="AQ321" s="24"/>
      <c r="AR321" s="24"/>
      <c r="AS321" s="24"/>
      <c r="AT321" s="24"/>
      <c r="AU321" s="24"/>
      <c r="AV321" s="24"/>
      <c r="AW321" s="24"/>
      <c r="AX321" s="24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>
        <v>33</v>
      </c>
      <c r="BL321" s="13">
        <v>33</v>
      </c>
      <c r="BM321" s="13">
        <f t="shared" si="51"/>
        <v>66</v>
      </c>
      <c r="BN321" s="22">
        <f t="shared" si="52"/>
        <v>15.9</v>
      </c>
      <c r="BO321" s="23" t="str">
        <f t="shared" si="53"/>
        <v>ok</v>
      </c>
      <c r="BP321" s="22">
        <f t="shared" si="54"/>
        <v>129</v>
      </c>
      <c r="BQ321" s="22" t="str">
        <f t="shared" si="55"/>
        <v>ok</v>
      </c>
      <c r="BR321" s="56"/>
    </row>
    <row r="322" spans="1:70" s="12" customFormat="1" ht="24.95" customHeight="1" x14ac:dyDescent="0.25">
      <c r="A322" s="4" t="s">
        <v>661</v>
      </c>
      <c r="B322" s="15" t="s">
        <v>662</v>
      </c>
      <c r="C322" s="5">
        <v>70019</v>
      </c>
      <c r="D322" s="5" t="s">
        <v>733</v>
      </c>
      <c r="E322" s="16" t="s">
        <v>881</v>
      </c>
      <c r="F322" s="16">
        <v>2</v>
      </c>
      <c r="G322" s="16">
        <v>0</v>
      </c>
      <c r="H322" s="16">
        <v>0</v>
      </c>
      <c r="I322" s="16" t="s">
        <v>15</v>
      </c>
      <c r="J322" s="17"/>
      <c r="K322" s="17"/>
      <c r="L322" s="17"/>
      <c r="M322" s="17"/>
      <c r="N322" s="17"/>
      <c r="O322" s="13"/>
      <c r="P322" s="13"/>
      <c r="Q322" s="13">
        <v>94</v>
      </c>
      <c r="R322" s="6">
        <v>82</v>
      </c>
      <c r="S322" s="7">
        <v>0.09</v>
      </c>
      <c r="T322" s="62">
        <v>33</v>
      </c>
      <c r="U322" s="16">
        <v>72.900000000000006</v>
      </c>
      <c r="V322" s="16"/>
      <c r="W322" s="16">
        <v>144</v>
      </c>
      <c r="X322" s="18">
        <v>144</v>
      </c>
      <c r="Y322" s="16">
        <f t="shared" si="56"/>
        <v>-6.9000000000000057</v>
      </c>
      <c r="Z322" s="16">
        <f t="shared" si="57"/>
        <v>66</v>
      </c>
      <c r="AA322" s="4">
        <v>0</v>
      </c>
      <c r="AB322" s="4">
        <v>0</v>
      </c>
      <c r="AC322" s="4">
        <v>0</v>
      </c>
      <c r="AD322" s="4">
        <v>0</v>
      </c>
      <c r="AE322" s="19">
        <v>0</v>
      </c>
      <c r="AF322" s="13">
        <f t="shared" si="58"/>
        <v>4</v>
      </c>
      <c r="AG322" s="20">
        <f t="shared" si="50"/>
        <v>46031</v>
      </c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4"/>
      <c r="AS322" s="24"/>
      <c r="AT322" s="24"/>
      <c r="AU322" s="24"/>
      <c r="AV322" s="24"/>
      <c r="AW322" s="24"/>
      <c r="AX322" s="24"/>
      <c r="AY322" s="13"/>
      <c r="AZ322" s="13"/>
      <c r="BA322" s="13"/>
      <c r="BB322" s="13">
        <v>33</v>
      </c>
      <c r="BC322" s="13"/>
      <c r="BD322" s="13"/>
      <c r="BE322" s="13">
        <v>33</v>
      </c>
      <c r="BF322" s="13"/>
      <c r="BG322" s="13"/>
      <c r="BH322" s="13"/>
      <c r="BI322" s="13"/>
      <c r="BJ322" s="13"/>
      <c r="BK322" s="13"/>
      <c r="BL322" s="13"/>
      <c r="BM322" s="13">
        <f t="shared" si="51"/>
        <v>6.9000000000000057</v>
      </c>
      <c r="BN322" s="22">
        <f t="shared" si="52"/>
        <v>33</v>
      </c>
      <c r="BO322" s="23" t="str">
        <f t="shared" si="53"/>
        <v>ok</v>
      </c>
      <c r="BP322" s="22">
        <f t="shared" si="54"/>
        <v>144</v>
      </c>
      <c r="BQ322" s="22" t="str">
        <f t="shared" si="55"/>
        <v>ok</v>
      </c>
      <c r="BR322" s="56" t="s">
        <v>28</v>
      </c>
    </row>
    <row r="323" spans="1:70" s="12" customFormat="1" ht="24.95" customHeight="1" x14ac:dyDescent="0.25">
      <c r="A323" s="4" t="s">
        <v>663</v>
      </c>
      <c r="B323" s="15" t="s">
        <v>664</v>
      </c>
      <c r="C323" s="5">
        <v>70019</v>
      </c>
      <c r="D323" s="5" t="s">
        <v>733</v>
      </c>
      <c r="E323" s="16" t="s">
        <v>885</v>
      </c>
      <c r="F323" s="16">
        <v>2</v>
      </c>
      <c r="G323" s="16">
        <v>0</v>
      </c>
      <c r="H323" s="16">
        <v>0</v>
      </c>
      <c r="I323" s="16" t="s">
        <v>15</v>
      </c>
      <c r="J323" s="17"/>
      <c r="K323" s="17"/>
      <c r="L323" s="17"/>
      <c r="M323" s="17"/>
      <c r="N323" s="17"/>
      <c r="O323" s="13"/>
      <c r="P323" s="13"/>
      <c r="Q323" s="13">
        <v>98</v>
      </c>
      <c r="R323" s="6">
        <v>85</v>
      </c>
      <c r="S323" s="7">
        <v>0.09</v>
      </c>
      <c r="T323" s="62">
        <v>33</v>
      </c>
      <c r="U323" s="16">
        <v>85.5</v>
      </c>
      <c r="V323" s="16"/>
      <c r="W323" s="16">
        <v>88.5</v>
      </c>
      <c r="X323" s="18">
        <v>88.5</v>
      </c>
      <c r="Y323" s="16">
        <f t="shared" si="56"/>
        <v>0</v>
      </c>
      <c r="Z323" s="16">
        <f t="shared" si="57"/>
        <v>85.5</v>
      </c>
      <c r="AA323" s="4">
        <v>0</v>
      </c>
      <c r="AB323" s="4">
        <v>0</v>
      </c>
      <c r="AC323" s="4">
        <v>0</v>
      </c>
      <c r="AD323" s="4">
        <v>0</v>
      </c>
      <c r="AE323" s="32">
        <v>0</v>
      </c>
      <c r="AF323" s="13">
        <f t="shared" si="58"/>
        <v>4</v>
      </c>
      <c r="AG323" s="20">
        <f t="shared" si="50"/>
        <v>46031</v>
      </c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21"/>
      <c r="AW323" s="13"/>
      <c r="AX323" s="13"/>
      <c r="AY323" s="13">
        <v>33</v>
      </c>
      <c r="AZ323" s="13">
        <v>33</v>
      </c>
      <c r="BA323" s="13"/>
      <c r="BB323" s="13">
        <v>19.5</v>
      </c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>
        <f t="shared" si="51"/>
        <v>0</v>
      </c>
      <c r="BN323" s="22">
        <f t="shared" si="52"/>
        <v>33</v>
      </c>
      <c r="BO323" s="23" t="str">
        <f t="shared" si="53"/>
        <v>ok</v>
      </c>
      <c r="BP323" s="22">
        <f t="shared" si="54"/>
        <v>88.5</v>
      </c>
      <c r="BQ323" s="22" t="str">
        <f t="shared" si="55"/>
        <v>ok</v>
      </c>
      <c r="BR323" s="56"/>
    </row>
    <row r="324" spans="1:70" s="12" customFormat="1" ht="24.95" customHeight="1" x14ac:dyDescent="0.25">
      <c r="A324" s="4" t="s">
        <v>665</v>
      </c>
      <c r="B324" s="15" t="s">
        <v>666</v>
      </c>
      <c r="C324" s="5">
        <v>70019</v>
      </c>
      <c r="D324" s="5" t="s">
        <v>733</v>
      </c>
      <c r="E324" s="16" t="s">
        <v>884</v>
      </c>
      <c r="F324" s="16">
        <v>2</v>
      </c>
      <c r="G324" s="16">
        <v>0</v>
      </c>
      <c r="H324" s="16">
        <v>0</v>
      </c>
      <c r="I324" s="16" t="s">
        <v>15</v>
      </c>
      <c r="J324" s="17"/>
      <c r="K324" s="17"/>
      <c r="L324" s="17"/>
      <c r="M324" s="17"/>
      <c r="N324" s="17"/>
      <c r="O324" s="13"/>
      <c r="P324" s="13"/>
      <c r="Q324" s="13">
        <v>54</v>
      </c>
      <c r="R324" s="6">
        <v>47</v>
      </c>
      <c r="S324" s="7">
        <v>0.09</v>
      </c>
      <c r="T324" s="62">
        <v>33</v>
      </c>
      <c r="U324" s="16">
        <v>33.300000000000004</v>
      </c>
      <c r="V324" s="16"/>
      <c r="W324" s="16">
        <v>46.5</v>
      </c>
      <c r="X324" s="18">
        <v>46.5</v>
      </c>
      <c r="Y324" s="16">
        <f t="shared" si="56"/>
        <v>-0.30000000000000426</v>
      </c>
      <c r="Z324" s="16">
        <f t="shared" si="57"/>
        <v>33</v>
      </c>
      <c r="AA324" s="4">
        <v>0</v>
      </c>
      <c r="AB324" s="4">
        <v>0</v>
      </c>
      <c r="AC324" s="4">
        <v>0</v>
      </c>
      <c r="AD324" s="4">
        <v>0</v>
      </c>
      <c r="AE324" s="32">
        <v>0</v>
      </c>
      <c r="AF324" s="13">
        <f t="shared" si="58"/>
        <v>4</v>
      </c>
      <c r="AG324" s="20">
        <f t="shared" si="50"/>
        <v>46031</v>
      </c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13"/>
      <c r="AZ324" s="13"/>
      <c r="BA324" s="13"/>
      <c r="BB324" s="13"/>
      <c r="BC324" s="24"/>
      <c r="BD324" s="13"/>
      <c r="BE324" s="13"/>
      <c r="BF324" s="13"/>
      <c r="BG324" s="13">
        <v>33</v>
      </c>
      <c r="BH324" s="13"/>
      <c r="BI324" s="13"/>
      <c r="BJ324" s="13"/>
      <c r="BK324" s="13"/>
      <c r="BL324" s="13"/>
      <c r="BM324" s="13">
        <f t="shared" si="51"/>
        <v>0.30000000000000426</v>
      </c>
      <c r="BN324" s="22">
        <f t="shared" si="52"/>
        <v>33</v>
      </c>
      <c r="BO324" s="23" t="str">
        <f t="shared" si="53"/>
        <v>ok</v>
      </c>
      <c r="BP324" s="22">
        <f t="shared" si="54"/>
        <v>46.5</v>
      </c>
      <c r="BQ324" s="22" t="str">
        <f t="shared" si="55"/>
        <v>ok</v>
      </c>
      <c r="BR324" s="56" t="s">
        <v>28</v>
      </c>
    </row>
    <row r="325" spans="1:70" s="12" customFormat="1" ht="24.95" customHeight="1" x14ac:dyDescent="0.25">
      <c r="A325" s="4" t="s">
        <v>667</v>
      </c>
      <c r="B325" s="15" t="s">
        <v>668</v>
      </c>
      <c r="C325" s="5">
        <v>70019</v>
      </c>
      <c r="D325" s="5" t="s">
        <v>733</v>
      </c>
      <c r="E325" s="16" t="s">
        <v>886</v>
      </c>
      <c r="F325" s="16">
        <v>3</v>
      </c>
      <c r="G325" s="16">
        <v>0</v>
      </c>
      <c r="H325" s="16">
        <v>0</v>
      </c>
      <c r="I325" s="16" t="s">
        <v>15</v>
      </c>
      <c r="J325" s="17"/>
      <c r="K325" s="17"/>
      <c r="L325" s="17"/>
      <c r="M325" s="17"/>
      <c r="N325" s="17"/>
      <c r="O325" s="13"/>
      <c r="P325" s="13"/>
      <c r="Q325" s="13">
        <v>155</v>
      </c>
      <c r="R325" s="6">
        <v>135</v>
      </c>
      <c r="S325" s="7">
        <v>0.09</v>
      </c>
      <c r="T325" s="62">
        <v>33</v>
      </c>
      <c r="U325" s="16">
        <v>37.800000000000004</v>
      </c>
      <c r="V325" s="16"/>
      <c r="W325" s="16">
        <v>90</v>
      </c>
      <c r="X325" s="18">
        <v>90</v>
      </c>
      <c r="Y325" s="16">
        <f t="shared" si="56"/>
        <v>-4.8000000000000043</v>
      </c>
      <c r="Z325" s="16">
        <f t="shared" si="57"/>
        <v>33</v>
      </c>
      <c r="AA325" s="4">
        <v>0</v>
      </c>
      <c r="AB325" s="4">
        <v>0</v>
      </c>
      <c r="AC325" s="4">
        <v>0</v>
      </c>
      <c r="AD325" s="4">
        <v>0</v>
      </c>
      <c r="AE325" s="19">
        <v>0</v>
      </c>
      <c r="AF325" s="13">
        <f t="shared" si="58"/>
        <v>4</v>
      </c>
      <c r="AG325" s="20">
        <f t="shared" si="50"/>
        <v>46031</v>
      </c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21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>
        <v>33</v>
      </c>
      <c r="BM325" s="13">
        <f t="shared" si="51"/>
        <v>37.800000000000004</v>
      </c>
      <c r="BN325" s="22">
        <f t="shared" si="52"/>
        <v>0</v>
      </c>
      <c r="BO325" s="23" t="str">
        <f t="shared" si="53"/>
        <v>ok</v>
      </c>
      <c r="BP325" s="22">
        <f t="shared" si="54"/>
        <v>90</v>
      </c>
      <c r="BQ325" s="22" t="str">
        <f t="shared" si="55"/>
        <v>ok</v>
      </c>
      <c r="BR325" s="56" t="s">
        <v>28</v>
      </c>
    </row>
    <row r="326" spans="1:70" s="12" customFormat="1" ht="24.95" customHeight="1" x14ac:dyDescent="0.25">
      <c r="A326" s="4" t="s">
        <v>669</v>
      </c>
      <c r="B326" s="15" t="s">
        <v>670</v>
      </c>
      <c r="C326" s="5">
        <v>70019</v>
      </c>
      <c r="D326" s="5" t="s">
        <v>733</v>
      </c>
      <c r="E326" s="16" t="s">
        <v>995</v>
      </c>
      <c r="F326" s="16">
        <v>1</v>
      </c>
      <c r="G326" s="16">
        <v>0</v>
      </c>
      <c r="H326" s="16">
        <v>0</v>
      </c>
      <c r="I326" s="16" t="s">
        <v>15</v>
      </c>
      <c r="J326" s="17"/>
      <c r="K326" s="17"/>
      <c r="L326" s="17"/>
      <c r="M326" s="17"/>
      <c r="N326" s="17"/>
      <c r="O326" s="13"/>
      <c r="P326" s="13"/>
      <c r="Q326" s="13">
        <v>43</v>
      </c>
      <c r="R326" s="6">
        <v>37</v>
      </c>
      <c r="S326" s="7">
        <v>0.09</v>
      </c>
      <c r="T326" s="62">
        <v>33</v>
      </c>
      <c r="U326" s="16">
        <v>72.900000000000006</v>
      </c>
      <c r="V326" s="16"/>
      <c r="W326" s="16">
        <v>150</v>
      </c>
      <c r="X326" s="18">
        <v>150</v>
      </c>
      <c r="Y326" s="16">
        <f t="shared" si="56"/>
        <v>-6.9000000000000057</v>
      </c>
      <c r="Z326" s="16">
        <f t="shared" si="57"/>
        <v>66</v>
      </c>
      <c r="AA326" s="4">
        <v>0</v>
      </c>
      <c r="AB326" s="4">
        <v>0</v>
      </c>
      <c r="AC326" s="4">
        <v>0</v>
      </c>
      <c r="AD326" s="4">
        <v>0</v>
      </c>
      <c r="AE326" s="32">
        <v>0</v>
      </c>
      <c r="AF326" s="13">
        <f t="shared" si="58"/>
        <v>4</v>
      </c>
      <c r="AG326" s="20">
        <f t="shared" si="50"/>
        <v>46031</v>
      </c>
      <c r="AH326" s="13"/>
      <c r="AI326" s="13"/>
      <c r="AJ326" s="13"/>
      <c r="AK326" s="13"/>
      <c r="AL326" s="13"/>
      <c r="AM326" s="13"/>
      <c r="AN326" s="13"/>
      <c r="AO326" s="13"/>
      <c r="AP326" s="13">
        <v>33</v>
      </c>
      <c r="AQ326" s="13"/>
      <c r="AR326" s="13"/>
      <c r="AS326" s="13"/>
      <c r="AT326" s="13"/>
      <c r="AU326" s="13"/>
      <c r="AV326" s="21">
        <v>33</v>
      </c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>
        <f t="shared" si="51"/>
        <v>6.9000000000000057</v>
      </c>
      <c r="BN326" s="22">
        <f t="shared" si="52"/>
        <v>33</v>
      </c>
      <c r="BO326" s="23" t="str">
        <f t="shared" si="53"/>
        <v>ok</v>
      </c>
      <c r="BP326" s="22">
        <f t="shared" si="54"/>
        <v>150</v>
      </c>
      <c r="BQ326" s="22" t="str">
        <f t="shared" si="55"/>
        <v>ok</v>
      </c>
      <c r="BR326" s="56" t="s">
        <v>28</v>
      </c>
    </row>
    <row r="327" spans="1:70" s="12" customFormat="1" ht="24.95" customHeight="1" x14ac:dyDescent="0.25">
      <c r="A327" s="4" t="s">
        <v>671</v>
      </c>
      <c r="B327" s="15" t="s">
        <v>672</v>
      </c>
      <c r="C327" s="5">
        <v>70019</v>
      </c>
      <c r="D327" s="5" t="s">
        <v>733</v>
      </c>
      <c r="E327" s="16" t="s">
        <v>887</v>
      </c>
      <c r="F327" s="16">
        <v>2</v>
      </c>
      <c r="G327" s="16">
        <v>0</v>
      </c>
      <c r="H327" s="16">
        <v>0</v>
      </c>
      <c r="I327" s="16" t="s">
        <v>15</v>
      </c>
      <c r="J327" s="17"/>
      <c r="K327" s="17"/>
      <c r="L327" s="17"/>
      <c r="M327" s="17"/>
      <c r="N327" s="17"/>
      <c r="O327" s="13"/>
      <c r="P327" s="13"/>
      <c r="Q327" s="13">
        <v>399</v>
      </c>
      <c r="R327" s="6">
        <v>347</v>
      </c>
      <c r="S327" s="7">
        <v>0.09</v>
      </c>
      <c r="T327" s="62">
        <v>33</v>
      </c>
      <c r="U327" s="16">
        <v>48.6</v>
      </c>
      <c r="V327" s="16"/>
      <c r="W327" s="16">
        <v>114</v>
      </c>
      <c r="X327" s="18">
        <v>114</v>
      </c>
      <c r="Y327" s="16">
        <f t="shared" si="56"/>
        <v>0</v>
      </c>
      <c r="Z327" s="16">
        <f t="shared" si="57"/>
        <v>48.6</v>
      </c>
      <c r="AA327" s="4">
        <v>0</v>
      </c>
      <c r="AB327" s="4">
        <v>0</v>
      </c>
      <c r="AC327" s="4">
        <v>0</v>
      </c>
      <c r="AD327" s="4">
        <v>0</v>
      </c>
      <c r="AE327" s="33">
        <v>0</v>
      </c>
      <c r="AF327" s="13">
        <f t="shared" si="58"/>
        <v>4</v>
      </c>
      <c r="AG327" s="20">
        <f t="shared" si="50"/>
        <v>46031</v>
      </c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21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>
        <v>33</v>
      </c>
      <c r="BJ327" s="13"/>
      <c r="BK327" s="13">
        <v>15.6</v>
      </c>
      <c r="BL327" s="13"/>
      <c r="BM327" s="13">
        <f t="shared" si="51"/>
        <v>15.600000000000001</v>
      </c>
      <c r="BN327" s="22">
        <f t="shared" si="52"/>
        <v>33</v>
      </c>
      <c r="BO327" s="23" t="str">
        <f t="shared" si="53"/>
        <v>ok</v>
      </c>
      <c r="BP327" s="22">
        <f t="shared" si="54"/>
        <v>114</v>
      </c>
      <c r="BQ327" s="22" t="str">
        <f t="shared" si="55"/>
        <v>ok</v>
      </c>
      <c r="BR327" s="56"/>
    </row>
    <row r="328" spans="1:70" s="12" customFormat="1" ht="24.95" customHeight="1" x14ac:dyDescent="0.25">
      <c r="A328" s="4" t="s">
        <v>673</v>
      </c>
      <c r="B328" s="15" t="s">
        <v>674</v>
      </c>
      <c r="C328" s="5">
        <v>70020</v>
      </c>
      <c r="D328" s="5" t="s">
        <v>733</v>
      </c>
      <c r="E328" s="16" t="s">
        <v>898</v>
      </c>
      <c r="F328" s="16">
        <v>2</v>
      </c>
      <c r="G328" s="16">
        <v>0</v>
      </c>
      <c r="H328" s="16">
        <v>0</v>
      </c>
      <c r="I328" s="16" t="s">
        <v>15</v>
      </c>
      <c r="J328" s="17"/>
      <c r="K328" s="17"/>
      <c r="L328" s="17"/>
      <c r="M328" s="17"/>
      <c r="N328" s="17"/>
      <c r="O328" s="13"/>
      <c r="P328" s="13"/>
      <c r="Q328" s="13">
        <v>291</v>
      </c>
      <c r="R328" s="6">
        <v>253</v>
      </c>
      <c r="S328" s="7">
        <v>0.09</v>
      </c>
      <c r="T328" s="62">
        <v>33</v>
      </c>
      <c r="U328" s="16">
        <v>10.8</v>
      </c>
      <c r="V328" s="16"/>
      <c r="W328" s="16">
        <v>30</v>
      </c>
      <c r="X328" s="18">
        <v>30</v>
      </c>
      <c r="Y328" s="16">
        <f t="shared" si="56"/>
        <v>0</v>
      </c>
      <c r="Z328" s="16">
        <f t="shared" si="57"/>
        <v>10.8</v>
      </c>
      <c r="AA328" s="4">
        <v>0</v>
      </c>
      <c r="AB328" s="4">
        <v>0</v>
      </c>
      <c r="AC328" s="4">
        <v>0</v>
      </c>
      <c r="AD328" s="4">
        <v>0</v>
      </c>
      <c r="AE328" s="19">
        <v>0</v>
      </c>
      <c r="AF328" s="13">
        <f t="shared" si="58"/>
        <v>4</v>
      </c>
      <c r="AG328" s="20">
        <f t="shared" si="50"/>
        <v>46031</v>
      </c>
      <c r="AH328" s="24"/>
      <c r="AI328" s="24"/>
      <c r="AJ328" s="24"/>
      <c r="AK328" s="24"/>
      <c r="AL328" s="24"/>
      <c r="AM328" s="24">
        <v>10.8</v>
      </c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>
        <f t="shared" si="51"/>
        <v>0</v>
      </c>
      <c r="BN328" s="22">
        <f t="shared" si="52"/>
        <v>10.8</v>
      </c>
      <c r="BO328" s="23" t="str">
        <f t="shared" si="53"/>
        <v>ok</v>
      </c>
      <c r="BP328" s="22">
        <f t="shared" si="54"/>
        <v>30</v>
      </c>
      <c r="BQ328" s="22" t="str">
        <f t="shared" si="55"/>
        <v>ok</v>
      </c>
      <c r="BR328" s="56"/>
    </row>
    <row r="329" spans="1:70" s="12" customFormat="1" ht="24.95" customHeight="1" x14ac:dyDescent="0.25">
      <c r="A329" s="4" t="s">
        <v>675</v>
      </c>
      <c r="B329" s="15" t="s">
        <v>676</v>
      </c>
      <c r="C329" s="5">
        <v>70020</v>
      </c>
      <c r="D329" s="5" t="s">
        <v>733</v>
      </c>
      <c r="E329" s="16" t="s">
        <v>904</v>
      </c>
      <c r="F329" s="16">
        <v>2</v>
      </c>
      <c r="G329" s="16">
        <v>0</v>
      </c>
      <c r="H329" s="16">
        <v>0</v>
      </c>
      <c r="I329" s="16" t="s">
        <v>15</v>
      </c>
      <c r="J329" s="17"/>
      <c r="K329" s="17"/>
      <c r="L329" s="17"/>
      <c r="M329" s="17"/>
      <c r="N329" s="17"/>
      <c r="O329" s="13"/>
      <c r="P329" s="13"/>
      <c r="Q329" s="13">
        <v>626</v>
      </c>
      <c r="R329" s="6">
        <v>544</v>
      </c>
      <c r="S329" s="7">
        <v>0.09</v>
      </c>
      <c r="T329" s="62">
        <v>33</v>
      </c>
      <c r="U329" s="16">
        <v>9.9</v>
      </c>
      <c r="V329" s="16"/>
      <c r="W329" s="16">
        <v>39</v>
      </c>
      <c r="X329" s="18">
        <v>39</v>
      </c>
      <c r="Y329" s="16">
        <f t="shared" si="56"/>
        <v>0</v>
      </c>
      <c r="Z329" s="16">
        <f t="shared" si="57"/>
        <v>9.9</v>
      </c>
      <c r="AA329" s="4">
        <v>0</v>
      </c>
      <c r="AB329" s="4">
        <v>0</v>
      </c>
      <c r="AC329" s="4">
        <v>0</v>
      </c>
      <c r="AD329" s="4">
        <v>0</v>
      </c>
      <c r="AE329" s="32">
        <v>0</v>
      </c>
      <c r="AF329" s="13">
        <f t="shared" si="58"/>
        <v>4</v>
      </c>
      <c r="AG329" s="20">
        <f t="shared" si="50"/>
        <v>46031</v>
      </c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21"/>
      <c r="AW329" s="13"/>
      <c r="AX329" s="13"/>
      <c r="AY329" s="13">
        <v>9.9</v>
      </c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>
        <f t="shared" si="51"/>
        <v>0</v>
      </c>
      <c r="BN329" s="22">
        <f t="shared" si="52"/>
        <v>9.9</v>
      </c>
      <c r="BO329" s="23" t="str">
        <f t="shared" si="53"/>
        <v>ok</v>
      </c>
      <c r="BP329" s="22">
        <f t="shared" si="54"/>
        <v>39</v>
      </c>
      <c r="BQ329" s="22" t="str">
        <f t="shared" si="55"/>
        <v>ok</v>
      </c>
      <c r="BR329" s="56"/>
    </row>
    <row r="330" spans="1:70" s="12" customFormat="1" ht="24.95" customHeight="1" x14ac:dyDescent="0.25">
      <c r="A330" s="4" t="s">
        <v>677</v>
      </c>
      <c r="B330" s="15" t="s">
        <v>678</v>
      </c>
      <c r="C330" s="5">
        <v>70020</v>
      </c>
      <c r="D330" s="5" t="s">
        <v>733</v>
      </c>
      <c r="E330" s="16" t="s">
        <v>907</v>
      </c>
      <c r="F330" s="16">
        <v>2</v>
      </c>
      <c r="G330" s="16">
        <v>0</v>
      </c>
      <c r="H330" s="16">
        <v>0</v>
      </c>
      <c r="I330" s="16" t="s">
        <v>15</v>
      </c>
      <c r="J330" s="17"/>
      <c r="K330" s="17"/>
      <c r="L330" s="17"/>
      <c r="M330" s="17"/>
      <c r="N330" s="17"/>
      <c r="O330" s="13"/>
      <c r="P330" s="13"/>
      <c r="Q330" s="13">
        <v>46</v>
      </c>
      <c r="R330" s="6">
        <v>40</v>
      </c>
      <c r="S330" s="7">
        <v>0.09</v>
      </c>
      <c r="T330" s="62">
        <v>33</v>
      </c>
      <c r="U330" s="16">
        <v>9.9</v>
      </c>
      <c r="V330" s="16"/>
      <c r="W330" s="16">
        <v>43.5</v>
      </c>
      <c r="X330" s="18">
        <v>43.5</v>
      </c>
      <c r="Y330" s="16">
        <f t="shared" si="56"/>
        <v>0</v>
      </c>
      <c r="Z330" s="16">
        <f t="shared" si="57"/>
        <v>9.9</v>
      </c>
      <c r="AA330" s="4">
        <v>0</v>
      </c>
      <c r="AB330" s="4">
        <v>0</v>
      </c>
      <c r="AC330" s="4">
        <v>0</v>
      </c>
      <c r="AD330" s="4">
        <v>0</v>
      </c>
      <c r="AE330" s="32">
        <v>0</v>
      </c>
      <c r="AF330" s="13">
        <f t="shared" si="58"/>
        <v>4</v>
      </c>
      <c r="AG330" s="20">
        <f t="shared" si="50"/>
        <v>46031</v>
      </c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>
        <v>9.9</v>
      </c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>
        <f t="shared" si="51"/>
        <v>0</v>
      </c>
      <c r="BN330" s="22">
        <f t="shared" si="52"/>
        <v>9.9</v>
      </c>
      <c r="BO330" s="23" t="str">
        <f t="shared" si="53"/>
        <v>ok</v>
      </c>
      <c r="BP330" s="22">
        <f t="shared" si="54"/>
        <v>43.5</v>
      </c>
      <c r="BQ330" s="22" t="str">
        <f t="shared" si="55"/>
        <v>ok</v>
      </c>
      <c r="BR330" s="56"/>
    </row>
    <row r="331" spans="1:70" s="12" customFormat="1" ht="24.95" customHeight="1" x14ac:dyDescent="0.25">
      <c r="A331" s="4" t="s">
        <v>679</v>
      </c>
      <c r="B331" s="15" t="s">
        <v>680</v>
      </c>
      <c r="C331" s="5">
        <v>70020</v>
      </c>
      <c r="D331" s="5" t="s">
        <v>733</v>
      </c>
      <c r="E331" s="16" t="s">
        <v>908</v>
      </c>
      <c r="F331" s="16">
        <v>2</v>
      </c>
      <c r="G331" s="16">
        <v>0</v>
      </c>
      <c r="H331" s="16">
        <v>0</v>
      </c>
      <c r="I331" s="16" t="s">
        <v>15</v>
      </c>
      <c r="J331" s="17"/>
      <c r="K331" s="17"/>
      <c r="L331" s="17"/>
      <c r="M331" s="17"/>
      <c r="N331" s="17"/>
      <c r="O331" s="13"/>
      <c r="P331" s="13"/>
      <c r="Q331" s="13">
        <v>13</v>
      </c>
      <c r="R331" s="6">
        <v>10</v>
      </c>
      <c r="S331" s="7">
        <v>0.09</v>
      </c>
      <c r="T331" s="62">
        <v>33</v>
      </c>
      <c r="U331" s="16">
        <v>9.9</v>
      </c>
      <c r="V331" s="16"/>
      <c r="W331" s="16">
        <v>45</v>
      </c>
      <c r="X331" s="18">
        <v>45</v>
      </c>
      <c r="Y331" s="16">
        <f t="shared" si="56"/>
        <v>0</v>
      </c>
      <c r="Z331" s="16">
        <f t="shared" si="57"/>
        <v>9.9</v>
      </c>
      <c r="AA331" s="4">
        <v>10</v>
      </c>
      <c r="AB331" s="4">
        <v>0</v>
      </c>
      <c r="AC331" s="4">
        <v>0</v>
      </c>
      <c r="AD331" s="4">
        <v>0</v>
      </c>
      <c r="AE331" s="19">
        <v>10</v>
      </c>
      <c r="AF331" s="13">
        <f t="shared" si="58"/>
        <v>4</v>
      </c>
      <c r="AG331" s="20">
        <f t="shared" si="50"/>
        <v>46032</v>
      </c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>
        <v>9.9</v>
      </c>
      <c r="BJ331" s="13"/>
      <c r="BK331" s="13"/>
      <c r="BL331" s="13"/>
      <c r="BM331" s="13">
        <f t="shared" si="51"/>
        <v>0</v>
      </c>
      <c r="BN331" s="22">
        <f t="shared" si="52"/>
        <v>9.9</v>
      </c>
      <c r="BO331" s="23" t="str">
        <f t="shared" si="53"/>
        <v>ok</v>
      </c>
      <c r="BP331" s="22">
        <f t="shared" si="54"/>
        <v>45</v>
      </c>
      <c r="BQ331" s="22" t="str">
        <f t="shared" si="55"/>
        <v>ok</v>
      </c>
      <c r="BR331" s="56"/>
    </row>
    <row r="332" spans="1:70" s="12" customFormat="1" ht="24.95" customHeight="1" x14ac:dyDescent="0.25">
      <c r="A332" s="4" t="s">
        <v>681</v>
      </c>
      <c r="B332" s="15" t="s">
        <v>682</v>
      </c>
      <c r="C332" s="5">
        <v>70020</v>
      </c>
      <c r="D332" s="5" t="s">
        <v>733</v>
      </c>
      <c r="E332" s="16" t="s">
        <v>996</v>
      </c>
      <c r="F332" s="16">
        <v>1</v>
      </c>
      <c r="G332" s="16">
        <v>0</v>
      </c>
      <c r="H332" s="16">
        <v>0</v>
      </c>
      <c r="I332" s="16" t="s">
        <v>15</v>
      </c>
      <c r="J332" s="17"/>
      <c r="K332" s="17"/>
      <c r="L332" s="17"/>
      <c r="M332" s="17"/>
      <c r="N332" s="17"/>
      <c r="O332" s="13"/>
      <c r="P332" s="13"/>
      <c r="Q332" s="13">
        <v>343</v>
      </c>
      <c r="R332" s="6">
        <v>309</v>
      </c>
      <c r="S332" s="7">
        <v>0.09</v>
      </c>
      <c r="T332" s="62">
        <v>33</v>
      </c>
      <c r="U332" s="16">
        <v>9.9</v>
      </c>
      <c r="V332" s="16"/>
      <c r="W332" s="16">
        <v>22.5</v>
      </c>
      <c r="X332" s="18">
        <v>22.5</v>
      </c>
      <c r="Y332" s="16">
        <f t="shared" si="56"/>
        <v>0</v>
      </c>
      <c r="Z332" s="16">
        <f t="shared" si="57"/>
        <v>9.9</v>
      </c>
      <c r="AA332" s="4">
        <v>0</v>
      </c>
      <c r="AB332" s="4">
        <v>0</v>
      </c>
      <c r="AC332" s="4">
        <v>0</v>
      </c>
      <c r="AD332" s="4">
        <v>0</v>
      </c>
      <c r="AE332" s="32">
        <v>0</v>
      </c>
      <c r="AF332" s="13">
        <f t="shared" si="58"/>
        <v>4</v>
      </c>
      <c r="AG332" s="34">
        <f t="shared" si="50"/>
        <v>46031</v>
      </c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21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>
        <v>9.9</v>
      </c>
      <c r="BH332" s="13"/>
      <c r="BI332" s="13"/>
      <c r="BJ332" s="13"/>
      <c r="BK332" s="13"/>
      <c r="BL332" s="13"/>
      <c r="BM332" s="13">
        <f t="shared" si="51"/>
        <v>0</v>
      </c>
      <c r="BN332" s="22">
        <f t="shared" si="52"/>
        <v>9.9</v>
      </c>
      <c r="BO332" s="23" t="str">
        <f t="shared" si="53"/>
        <v>ok</v>
      </c>
      <c r="BP332" s="22">
        <f t="shared" si="54"/>
        <v>22.5</v>
      </c>
      <c r="BQ332" s="22" t="str">
        <f t="shared" si="55"/>
        <v>ok</v>
      </c>
      <c r="BR332" s="56"/>
    </row>
    <row r="333" spans="1:70" s="12" customFormat="1" ht="24.95" customHeight="1" x14ac:dyDescent="0.25">
      <c r="A333" s="4" t="s">
        <v>683</v>
      </c>
      <c r="B333" s="15" t="s">
        <v>684</v>
      </c>
      <c r="C333" s="5">
        <v>70020</v>
      </c>
      <c r="D333" s="5" t="s">
        <v>733</v>
      </c>
      <c r="E333" s="16" t="s">
        <v>912</v>
      </c>
      <c r="F333" s="16">
        <v>2</v>
      </c>
      <c r="G333" s="16">
        <v>0</v>
      </c>
      <c r="H333" s="16">
        <v>0</v>
      </c>
      <c r="I333" s="16" t="s">
        <v>15</v>
      </c>
      <c r="J333" s="17"/>
      <c r="K333" s="17"/>
      <c r="L333" s="17"/>
      <c r="M333" s="17"/>
      <c r="N333" s="17"/>
      <c r="O333" s="13"/>
      <c r="P333" s="13"/>
      <c r="Q333" s="13">
        <v>650</v>
      </c>
      <c r="R333" s="6">
        <v>565</v>
      </c>
      <c r="S333" s="7">
        <v>0.09</v>
      </c>
      <c r="T333" s="62">
        <v>33</v>
      </c>
      <c r="U333" s="16">
        <v>9.9</v>
      </c>
      <c r="V333" s="16"/>
      <c r="W333" s="16">
        <v>33</v>
      </c>
      <c r="X333" s="18">
        <v>33</v>
      </c>
      <c r="Y333" s="16">
        <f t="shared" si="56"/>
        <v>0</v>
      </c>
      <c r="Z333" s="16">
        <f t="shared" si="57"/>
        <v>9.9</v>
      </c>
      <c r="AA333" s="4">
        <v>0</v>
      </c>
      <c r="AB333" s="4">
        <v>0</v>
      </c>
      <c r="AC333" s="4">
        <v>0</v>
      </c>
      <c r="AD333" s="4">
        <v>0</v>
      </c>
      <c r="AE333" s="32">
        <v>0</v>
      </c>
      <c r="AF333" s="13">
        <f t="shared" si="58"/>
        <v>4</v>
      </c>
      <c r="AG333" s="20">
        <f t="shared" si="50"/>
        <v>46031</v>
      </c>
      <c r="AH333" s="13">
        <v>9.9</v>
      </c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21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>
        <f t="shared" si="51"/>
        <v>0</v>
      </c>
      <c r="BN333" s="22">
        <f t="shared" si="52"/>
        <v>9.9</v>
      </c>
      <c r="BO333" s="23" t="str">
        <f t="shared" si="53"/>
        <v>ok</v>
      </c>
      <c r="BP333" s="22">
        <f t="shared" si="54"/>
        <v>33</v>
      </c>
      <c r="BQ333" s="22" t="str">
        <f t="shared" si="55"/>
        <v>ok</v>
      </c>
      <c r="BR333" s="56"/>
    </row>
    <row r="334" spans="1:70" s="12" customFormat="1" ht="24.95" customHeight="1" x14ac:dyDescent="0.25">
      <c r="A334" s="4" t="s">
        <v>685</v>
      </c>
      <c r="B334" s="15" t="s">
        <v>686</v>
      </c>
      <c r="C334" s="5">
        <v>70020</v>
      </c>
      <c r="D334" s="5" t="s">
        <v>733</v>
      </c>
      <c r="E334" s="16" t="s">
        <v>915</v>
      </c>
      <c r="F334" s="16">
        <v>2</v>
      </c>
      <c r="G334" s="16">
        <v>0</v>
      </c>
      <c r="H334" s="16">
        <v>0</v>
      </c>
      <c r="I334" s="16" t="s">
        <v>15</v>
      </c>
      <c r="J334" s="17"/>
      <c r="K334" s="17"/>
      <c r="L334" s="17"/>
      <c r="M334" s="17"/>
      <c r="N334" s="17"/>
      <c r="O334" s="13"/>
      <c r="P334" s="13"/>
      <c r="Q334" s="13">
        <v>509</v>
      </c>
      <c r="R334" s="6">
        <v>443</v>
      </c>
      <c r="S334" s="7">
        <v>0.09</v>
      </c>
      <c r="T334" s="62">
        <v>33</v>
      </c>
      <c r="U334" s="16">
        <v>9.9</v>
      </c>
      <c r="V334" s="16"/>
      <c r="W334" s="16">
        <v>37.5</v>
      </c>
      <c r="X334" s="18">
        <v>37.5</v>
      </c>
      <c r="Y334" s="16">
        <f t="shared" si="56"/>
        <v>0</v>
      </c>
      <c r="Z334" s="16">
        <f t="shared" si="57"/>
        <v>9.9</v>
      </c>
      <c r="AA334" s="4">
        <v>0</v>
      </c>
      <c r="AB334" s="4">
        <v>0</v>
      </c>
      <c r="AC334" s="4">
        <v>0</v>
      </c>
      <c r="AD334" s="4">
        <v>0</v>
      </c>
      <c r="AE334" s="19">
        <v>0</v>
      </c>
      <c r="AF334" s="13">
        <f t="shared" si="58"/>
        <v>4</v>
      </c>
      <c r="AG334" s="20">
        <f t="shared" si="50"/>
        <v>46031</v>
      </c>
      <c r="AH334" s="24"/>
      <c r="AI334" s="24"/>
      <c r="AJ334" s="24"/>
      <c r="AK334" s="24"/>
      <c r="AL334" s="24"/>
      <c r="AM334" s="24"/>
      <c r="AN334" s="24">
        <v>9.9</v>
      </c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>
        <f t="shared" si="51"/>
        <v>0</v>
      </c>
      <c r="BN334" s="22">
        <f t="shared" si="52"/>
        <v>9.9</v>
      </c>
      <c r="BO334" s="23" t="str">
        <f t="shared" si="53"/>
        <v>ok</v>
      </c>
      <c r="BP334" s="22">
        <f t="shared" si="54"/>
        <v>37.5</v>
      </c>
      <c r="BQ334" s="22" t="str">
        <f t="shared" si="55"/>
        <v>ok</v>
      </c>
      <c r="BR334" s="56"/>
    </row>
    <row r="335" spans="1:70" s="12" customFormat="1" ht="24.95" customHeight="1" x14ac:dyDescent="0.25">
      <c r="A335" s="4" t="s">
        <v>687</v>
      </c>
      <c r="B335" s="15" t="s">
        <v>688</v>
      </c>
      <c r="C335" s="5">
        <v>70020</v>
      </c>
      <c r="D335" s="5" t="s">
        <v>733</v>
      </c>
      <c r="E335" s="16" t="s">
        <v>997</v>
      </c>
      <c r="F335" s="16">
        <v>1</v>
      </c>
      <c r="G335" s="16">
        <v>0</v>
      </c>
      <c r="H335" s="16">
        <v>0</v>
      </c>
      <c r="I335" s="16" t="s">
        <v>15</v>
      </c>
      <c r="J335" s="17"/>
      <c r="K335" s="17"/>
      <c r="L335" s="17"/>
      <c r="M335" s="17"/>
      <c r="N335" s="17"/>
      <c r="O335" s="13"/>
      <c r="P335" s="13"/>
      <c r="Q335" s="13">
        <v>125</v>
      </c>
      <c r="R335" s="6">
        <v>106</v>
      </c>
      <c r="S335" s="7">
        <v>0.09</v>
      </c>
      <c r="T335" s="62">
        <v>33</v>
      </c>
      <c r="U335" s="16">
        <v>9.9</v>
      </c>
      <c r="V335" s="16"/>
      <c r="W335" s="16">
        <v>30</v>
      </c>
      <c r="X335" s="18">
        <v>30</v>
      </c>
      <c r="Y335" s="16">
        <f t="shared" si="56"/>
        <v>0</v>
      </c>
      <c r="Z335" s="16">
        <f t="shared" si="57"/>
        <v>9.9</v>
      </c>
      <c r="AA335" s="4">
        <v>0</v>
      </c>
      <c r="AB335" s="4">
        <v>10</v>
      </c>
      <c r="AC335" s="4">
        <v>0</v>
      </c>
      <c r="AD335" s="4">
        <v>0</v>
      </c>
      <c r="AE335" s="32">
        <v>10</v>
      </c>
      <c r="AF335" s="13">
        <f t="shared" si="58"/>
        <v>4</v>
      </c>
      <c r="AG335" s="20">
        <f t="shared" si="50"/>
        <v>46033</v>
      </c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>
        <v>9.9</v>
      </c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>
        <f t="shared" si="51"/>
        <v>0</v>
      </c>
      <c r="BN335" s="22">
        <f t="shared" si="52"/>
        <v>9.9</v>
      </c>
      <c r="BO335" s="23" t="str">
        <f t="shared" si="53"/>
        <v>ok</v>
      </c>
      <c r="BP335" s="22">
        <f t="shared" si="54"/>
        <v>30</v>
      </c>
      <c r="BQ335" s="22" t="str">
        <f t="shared" si="55"/>
        <v>ok</v>
      </c>
      <c r="BR335" s="56"/>
    </row>
    <row r="336" spans="1:70" s="12" customFormat="1" ht="24.95" customHeight="1" x14ac:dyDescent="0.25">
      <c r="A336" s="4" t="s">
        <v>689</v>
      </c>
      <c r="B336" s="15" t="s">
        <v>690</v>
      </c>
      <c r="C336" s="5">
        <v>70020</v>
      </c>
      <c r="D336" s="5" t="s">
        <v>733</v>
      </c>
      <c r="E336" s="16" t="s">
        <v>916</v>
      </c>
      <c r="F336" s="16">
        <v>2</v>
      </c>
      <c r="G336" s="16">
        <v>0</v>
      </c>
      <c r="H336" s="16">
        <v>0</v>
      </c>
      <c r="I336" s="16" t="s">
        <v>15</v>
      </c>
      <c r="J336" s="17"/>
      <c r="K336" s="17"/>
      <c r="L336" s="17"/>
      <c r="M336" s="17"/>
      <c r="N336" s="17"/>
      <c r="O336" s="13"/>
      <c r="P336" s="13"/>
      <c r="Q336" s="13">
        <v>22</v>
      </c>
      <c r="R336" s="6">
        <v>18</v>
      </c>
      <c r="S336" s="7">
        <v>0.09</v>
      </c>
      <c r="T336" s="62">
        <v>33</v>
      </c>
      <c r="U336" s="16">
        <v>9.9</v>
      </c>
      <c r="V336" s="16"/>
      <c r="W336" s="16">
        <v>22.5</v>
      </c>
      <c r="X336" s="18">
        <v>22.5</v>
      </c>
      <c r="Y336" s="16">
        <f t="shared" si="56"/>
        <v>0</v>
      </c>
      <c r="Z336" s="16">
        <f t="shared" si="57"/>
        <v>9.9</v>
      </c>
      <c r="AA336" s="4">
        <v>0</v>
      </c>
      <c r="AB336" s="4">
        <v>0</v>
      </c>
      <c r="AC336" s="4">
        <v>0</v>
      </c>
      <c r="AD336" s="4">
        <v>0</v>
      </c>
      <c r="AE336" s="32">
        <v>0</v>
      </c>
      <c r="AF336" s="13">
        <f t="shared" si="58"/>
        <v>4</v>
      </c>
      <c r="AG336" s="20">
        <f t="shared" si="50"/>
        <v>46031</v>
      </c>
      <c r="AH336" s="24"/>
      <c r="AI336" s="24">
        <v>9.9</v>
      </c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>
        <f t="shared" si="51"/>
        <v>0</v>
      </c>
      <c r="BN336" s="22">
        <f t="shared" si="52"/>
        <v>9.9</v>
      </c>
      <c r="BO336" s="23" t="str">
        <f t="shared" si="53"/>
        <v>ok</v>
      </c>
      <c r="BP336" s="22">
        <f t="shared" si="54"/>
        <v>22.5</v>
      </c>
      <c r="BQ336" s="22" t="str">
        <f t="shared" si="55"/>
        <v>ok</v>
      </c>
      <c r="BR336" s="56"/>
    </row>
    <row r="337" spans="1:70" s="12" customFormat="1" ht="24.95" customHeight="1" x14ac:dyDescent="0.25">
      <c r="A337" s="4" t="s">
        <v>691</v>
      </c>
      <c r="B337" s="15" t="s">
        <v>692</v>
      </c>
      <c r="C337" s="5">
        <v>70020</v>
      </c>
      <c r="D337" s="5" t="s">
        <v>733</v>
      </c>
      <c r="E337" s="16" t="s">
        <v>998</v>
      </c>
      <c r="F337" s="16">
        <v>1</v>
      </c>
      <c r="G337" s="16">
        <v>0</v>
      </c>
      <c r="H337" s="16">
        <v>0</v>
      </c>
      <c r="I337" s="16" t="s">
        <v>15</v>
      </c>
      <c r="J337" s="17"/>
      <c r="K337" s="17"/>
      <c r="L337" s="17"/>
      <c r="M337" s="17"/>
      <c r="N337" s="17"/>
      <c r="O337" s="13"/>
      <c r="P337" s="13"/>
      <c r="Q337" s="13">
        <v>423</v>
      </c>
      <c r="R337" s="6">
        <v>381</v>
      </c>
      <c r="S337" s="7">
        <v>0.09</v>
      </c>
      <c r="T337" s="62">
        <v>33</v>
      </c>
      <c r="U337" s="16">
        <v>9.9</v>
      </c>
      <c r="V337" s="16"/>
      <c r="W337" s="16">
        <v>36</v>
      </c>
      <c r="X337" s="18">
        <v>36</v>
      </c>
      <c r="Y337" s="16">
        <f t="shared" si="56"/>
        <v>0</v>
      </c>
      <c r="Z337" s="16">
        <f t="shared" si="57"/>
        <v>9.9</v>
      </c>
      <c r="AA337" s="4">
        <v>0</v>
      </c>
      <c r="AB337" s="4">
        <v>0</v>
      </c>
      <c r="AC337" s="4">
        <v>0</v>
      </c>
      <c r="AD337" s="4">
        <v>0</v>
      </c>
      <c r="AE337" s="19">
        <v>0</v>
      </c>
      <c r="AF337" s="13">
        <f t="shared" si="58"/>
        <v>4</v>
      </c>
      <c r="AG337" s="20">
        <f t="shared" ref="AG337:AG353" si="59">IF(AH$16="", "", MAX(AH$16, IF(AD337&gt;0, AD$16+AF337+1, IF(AC337&gt;0, AC$16+AF337+1, IF(AB337&gt;0, AB$16+AF337+1, IF(AA337&gt;0, AA$16+AF337+1, 0))))))</f>
        <v>46031</v>
      </c>
      <c r="AH337" s="13"/>
      <c r="AI337" s="13"/>
      <c r="AJ337" s="13"/>
      <c r="AK337" s="13"/>
      <c r="AL337" s="13"/>
      <c r="AM337" s="13"/>
      <c r="AN337" s="13"/>
      <c r="AO337" s="13"/>
      <c r="AP337" s="13">
        <v>9.9</v>
      </c>
      <c r="AQ337" s="13"/>
      <c r="AR337" s="13"/>
      <c r="AS337" s="13"/>
      <c r="AT337" s="13"/>
      <c r="AU337" s="13"/>
      <c r="AV337" s="21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>
        <f t="shared" ref="BM337:BM353" si="60">SUM(U337-(SUM(AH337:BJ337)))</f>
        <v>0</v>
      </c>
      <c r="BN337" s="22">
        <f t="shared" ref="BN337:BN353" si="61">MAX(AH337:BJ337)</f>
        <v>9.9</v>
      </c>
      <c r="BO337" s="23" t="str">
        <f t="shared" ref="BO337:BO353" si="62">IF(BN337&gt;W337+V337,"ver","ok")</f>
        <v>ok</v>
      </c>
      <c r="BP337" s="22">
        <f t="shared" ref="BP337:BP353" si="63">V337+W337</f>
        <v>36</v>
      </c>
      <c r="BQ337" s="22" t="str">
        <f t="shared" ref="BQ337:BQ353" si="64">IF(BN337&gt;BP337,BN337,"ok")</f>
        <v>ok</v>
      </c>
      <c r="BR337" s="56"/>
    </row>
    <row r="338" spans="1:70" s="12" customFormat="1" ht="24.95" customHeight="1" x14ac:dyDescent="0.25">
      <c r="A338" s="4" t="s">
        <v>693</v>
      </c>
      <c r="B338" s="15" t="s">
        <v>694</v>
      </c>
      <c r="C338" s="5">
        <v>70021</v>
      </c>
      <c r="D338" s="5" t="s">
        <v>733</v>
      </c>
      <c r="E338" s="16" t="s">
        <v>918</v>
      </c>
      <c r="F338" s="16">
        <v>2</v>
      </c>
      <c r="G338" s="16">
        <v>0</v>
      </c>
      <c r="H338" s="16">
        <v>0</v>
      </c>
      <c r="I338" s="16" t="s">
        <v>15</v>
      </c>
      <c r="J338" s="17"/>
      <c r="K338" s="17"/>
      <c r="L338" s="17"/>
      <c r="M338" s="17"/>
      <c r="N338" s="17"/>
      <c r="O338" s="13"/>
      <c r="P338" s="13"/>
      <c r="Q338" s="13">
        <v>123</v>
      </c>
      <c r="R338" s="6">
        <v>105</v>
      </c>
      <c r="S338" s="7">
        <v>0.09</v>
      </c>
      <c r="T338" s="62">
        <v>33</v>
      </c>
      <c r="U338" s="16">
        <v>9.9</v>
      </c>
      <c r="V338" s="16"/>
      <c r="W338" s="16">
        <v>75</v>
      </c>
      <c r="X338" s="18">
        <v>75</v>
      </c>
      <c r="Y338" s="16">
        <f t="shared" ref="Y338:Y353" si="65">Z338-U338</f>
        <v>0</v>
      </c>
      <c r="Z338" s="16">
        <f t="shared" ref="Z338:Z353" si="66">SUM(AH338:BL338)</f>
        <v>9.9</v>
      </c>
      <c r="AA338" s="4">
        <v>12</v>
      </c>
      <c r="AB338" s="4">
        <v>0</v>
      </c>
      <c r="AC338" s="4">
        <v>0</v>
      </c>
      <c r="AD338" s="4">
        <v>0</v>
      </c>
      <c r="AE338" s="32">
        <v>12</v>
      </c>
      <c r="AF338" s="13">
        <f t="shared" ref="AF338:AF353" si="67">IF(I338="Máquina",IF(COUNTIF(D338,"*cat02*"),4,IF(COUNTIF(D338,"*cat01*"),3,IF(COUNTIF(D338,"*cat04*"),2,IF(COUNTIF(D338,"*cat03*"),5,2)))),IF(COUNTIF(D338,"*cat02*"),3,IF(COUNTIF(D338,"*cat01*"),2,IF(COUNTIF(D338,"*cat04*"),2,IF(COUNTIF(D338,"*cat03*"),5,2)))))</f>
        <v>4</v>
      </c>
      <c r="AG338" s="20">
        <f t="shared" si="59"/>
        <v>46032</v>
      </c>
      <c r="AH338" s="13"/>
      <c r="AI338" s="13"/>
      <c r="AJ338" s="13"/>
      <c r="AK338" s="13">
        <v>9.9</v>
      </c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21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>
        <f t="shared" si="60"/>
        <v>0</v>
      </c>
      <c r="BN338" s="22">
        <f t="shared" si="61"/>
        <v>9.9</v>
      </c>
      <c r="BO338" s="23" t="str">
        <f t="shared" si="62"/>
        <v>ok</v>
      </c>
      <c r="BP338" s="22">
        <f t="shared" si="63"/>
        <v>75</v>
      </c>
      <c r="BQ338" s="22" t="str">
        <f t="shared" si="64"/>
        <v>ok</v>
      </c>
      <c r="BR338" s="56"/>
    </row>
    <row r="339" spans="1:70" s="12" customFormat="1" ht="24.95" customHeight="1" x14ac:dyDescent="0.25">
      <c r="A339" s="4" t="s">
        <v>695</v>
      </c>
      <c r="B339" s="15" t="s">
        <v>696</v>
      </c>
      <c r="C339" s="5">
        <v>70021</v>
      </c>
      <c r="D339" s="5" t="s">
        <v>733</v>
      </c>
      <c r="E339" s="16" t="s">
        <v>926</v>
      </c>
      <c r="F339" s="16">
        <v>2</v>
      </c>
      <c r="G339" s="16">
        <v>0</v>
      </c>
      <c r="H339" s="16">
        <v>0</v>
      </c>
      <c r="I339" s="16" t="s">
        <v>15</v>
      </c>
      <c r="J339" s="17"/>
      <c r="K339" s="17"/>
      <c r="L339" s="17"/>
      <c r="M339" s="17"/>
      <c r="N339" s="17"/>
      <c r="O339" s="13"/>
      <c r="P339" s="13"/>
      <c r="Q339" s="13">
        <v>105</v>
      </c>
      <c r="R339" s="6">
        <v>91</v>
      </c>
      <c r="S339" s="7">
        <v>0.09</v>
      </c>
      <c r="T339" s="62">
        <v>33</v>
      </c>
      <c r="U339" s="16">
        <v>9.9</v>
      </c>
      <c r="V339" s="16"/>
      <c r="W339" s="16">
        <v>36</v>
      </c>
      <c r="X339" s="18">
        <v>36</v>
      </c>
      <c r="Y339" s="16">
        <f t="shared" si="65"/>
        <v>0</v>
      </c>
      <c r="Z339" s="16">
        <f t="shared" si="66"/>
        <v>9.9</v>
      </c>
      <c r="AA339" s="4">
        <v>0</v>
      </c>
      <c r="AB339" s="4">
        <v>0</v>
      </c>
      <c r="AC339" s="4">
        <v>0</v>
      </c>
      <c r="AD339" s="4">
        <v>0</v>
      </c>
      <c r="AE339" s="32">
        <v>0</v>
      </c>
      <c r="AF339" s="13">
        <f t="shared" si="67"/>
        <v>4</v>
      </c>
      <c r="AG339" s="20">
        <f t="shared" si="59"/>
        <v>46031</v>
      </c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21"/>
      <c r="AW339" s="13"/>
      <c r="AX339" s="13"/>
      <c r="AY339" s="13"/>
      <c r="AZ339" s="13"/>
      <c r="BA339" s="13"/>
      <c r="BB339" s="13"/>
      <c r="BC339" s="13">
        <v>9.9</v>
      </c>
      <c r="BD339" s="13"/>
      <c r="BE339" s="13"/>
      <c r="BF339" s="13"/>
      <c r="BG339" s="13"/>
      <c r="BH339" s="13"/>
      <c r="BI339" s="13"/>
      <c r="BJ339" s="13"/>
      <c r="BK339" s="13"/>
      <c r="BL339" s="13"/>
      <c r="BM339" s="13">
        <f t="shared" si="60"/>
        <v>0</v>
      </c>
      <c r="BN339" s="22">
        <f t="shared" si="61"/>
        <v>9.9</v>
      </c>
      <c r="BO339" s="23" t="str">
        <f t="shared" si="62"/>
        <v>ok</v>
      </c>
      <c r="BP339" s="22">
        <f t="shared" si="63"/>
        <v>36</v>
      </c>
      <c r="BQ339" s="22" t="str">
        <f t="shared" si="64"/>
        <v>ok</v>
      </c>
      <c r="BR339" s="56"/>
    </row>
    <row r="340" spans="1:70" s="12" customFormat="1" ht="24.95" customHeight="1" x14ac:dyDescent="0.25">
      <c r="A340" s="4" t="s">
        <v>697</v>
      </c>
      <c r="B340" s="15" t="s">
        <v>698</v>
      </c>
      <c r="C340" s="5">
        <v>70021</v>
      </c>
      <c r="D340" s="5" t="s">
        <v>733</v>
      </c>
      <c r="E340" s="16" t="s">
        <v>946</v>
      </c>
      <c r="F340" s="16">
        <v>2</v>
      </c>
      <c r="G340" s="16">
        <v>0</v>
      </c>
      <c r="H340" s="16">
        <v>0</v>
      </c>
      <c r="I340" s="16" t="s">
        <v>15</v>
      </c>
      <c r="J340" s="17"/>
      <c r="K340" s="17"/>
      <c r="L340" s="17"/>
      <c r="M340" s="17"/>
      <c r="N340" s="17"/>
      <c r="O340" s="13"/>
      <c r="P340" s="13"/>
      <c r="Q340" s="13">
        <v>11</v>
      </c>
      <c r="R340" s="6">
        <v>8</v>
      </c>
      <c r="S340" s="7">
        <v>0.09</v>
      </c>
      <c r="T340" s="62">
        <v>33</v>
      </c>
      <c r="U340" s="16">
        <v>9.9</v>
      </c>
      <c r="V340" s="16"/>
      <c r="W340" s="16">
        <v>22.5</v>
      </c>
      <c r="X340" s="18">
        <v>22.5</v>
      </c>
      <c r="Y340" s="16">
        <f t="shared" si="65"/>
        <v>0</v>
      </c>
      <c r="Z340" s="16">
        <f t="shared" si="66"/>
        <v>9.9</v>
      </c>
      <c r="AA340" s="4">
        <v>0</v>
      </c>
      <c r="AB340" s="4">
        <v>0</v>
      </c>
      <c r="AC340" s="4">
        <v>0</v>
      </c>
      <c r="AD340" s="4">
        <v>15</v>
      </c>
      <c r="AE340" s="19">
        <v>15</v>
      </c>
      <c r="AF340" s="13">
        <f t="shared" si="67"/>
        <v>4</v>
      </c>
      <c r="AG340" s="20">
        <f t="shared" si="59"/>
        <v>46035</v>
      </c>
      <c r="AH340" s="24"/>
      <c r="AI340" s="24"/>
      <c r="AJ340" s="24">
        <v>9.9</v>
      </c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>
        <f t="shared" si="60"/>
        <v>0</v>
      </c>
      <c r="BN340" s="22">
        <f t="shared" si="61"/>
        <v>9.9</v>
      </c>
      <c r="BO340" s="23" t="str">
        <f t="shared" si="62"/>
        <v>ok</v>
      </c>
      <c r="BP340" s="22">
        <f t="shared" si="63"/>
        <v>22.5</v>
      </c>
      <c r="BQ340" s="22" t="str">
        <f t="shared" si="64"/>
        <v>ok</v>
      </c>
      <c r="BR340" s="56"/>
    </row>
    <row r="341" spans="1:70" s="12" customFormat="1" ht="24.95" customHeight="1" x14ac:dyDescent="0.25">
      <c r="A341" s="4" t="s">
        <v>699</v>
      </c>
      <c r="B341" s="15" t="s">
        <v>700</v>
      </c>
      <c r="C341" s="5">
        <v>70021</v>
      </c>
      <c r="D341" s="5" t="s">
        <v>733</v>
      </c>
      <c r="E341" s="16" t="s">
        <v>999</v>
      </c>
      <c r="F341" s="16">
        <v>1</v>
      </c>
      <c r="G341" s="16">
        <v>0</v>
      </c>
      <c r="H341" s="16">
        <v>0</v>
      </c>
      <c r="I341" s="16" t="s">
        <v>15</v>
      </c>
      <c r="J341" s="17"/>
      <c r="K341" s="17"/>
      <c r="L341" s="17"/>
      <c r="M341" s="17"/>
      <c r="N341" s="17"/>
      <c r="O341" s="13"/>
      <c r="P341" s="13"/>
      <c r="Q341" s="13">
        <v>258</v>
      </c>
      <c r="R341" s="6">
        <v>224</v>
      </c>
      <c r="S341" s="7">
        <v>0.09</v>
      </c>
      <c r="T341" s="62">
        <v>33</v>
      </c>
      <c r="U341" s="16">
        <v>9.9</v>
      </c>
      <c r="V341" s="16"/>
      <c r="W341" s="16">
        <v>30</v>
      </c>
      <c r="X341" s="18">
        <v>30</v>
      </c>
      <c r="Y341" s="16">
        <f t="shared" si="65"/>
        <v>0</v>
      </c>
      <c r="Z341" s="16">
        <f t="shared" si="66"/>
        <v>9.9</v>
      </c>
      <c r="AA341" s="4">
        <v>0</v>
      </c>
      <c r="AB341" s="4">
        <v>0</v>
      </c>
      <c r="AC341" s="4">
        <v>0</v>
      </c>
      <c r="AD341" s="4">
        <v>0</v>
      </c>
      <c r="AE341" s="32">
        <v>0</v>
      </c>
      <c r="AF341" s="13">
        <f t="shared" si="67"/>
        <v>4</v>
      </c>
      <c r="AG341" s="20">
        <f t="shared" si="59"/>
        <v>46031</v>
      </c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21"/>
      <c r="AW341" s="13">
        <v>9.9</v>
      </c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>
        <f t="shared" si="60"/>
        <v>0</v>
      </c>
      <c r="BN341" s="22">
        <f t="shared" si="61"/>
        <v>9.9</v>
      </c>
      <c r="BO341" s="23" t="str">
        <f t="shared" si="62"/>
        <v>ok</v>
      </c>
      <c r="BP341" s="22">
        <f t="shared" si="63"/>
        <v>30</v>
      </c>
      <c r="BQ341" s="22" t="str">
        <f t="shared" si="64"/>
        <v>ok</v>
      </c>
      <c r="BR341" s="56"/>
    </row>
    <row r="342" spans="1:70" s="12" customFormat="1" ht="24.95" customHeight="1" x14ac:dyDescent="0.25">
      <c r="A342" s="4" t="s">
        <v>701</v>
      </c>
      <c r="B342" s="15" t="s">
        <v>702</v>
      </c>
      <c r="C342" s="5">
        <v>70021</v>
      </c>
      <c r="D342" s="5" t="s">
        <v>733</v>
      </c>
      <c r="E342" s="16" t="s">
        <v>947</v>
      </c>
      <c r="F342" s="16">
        <v>2</v>
      </c>
      <c r="G342" s="16">
        <v>0</v>
      </c>
      <c r="H342" s="16">
        <v>0</v>
      </c>
      <c r="I342" s="16" t="s">
        <v>15</v>
      </c>
      <c r="J342" s="17"/>
      <c r="K342" s="17"/>
      <c r="L342" s="17"/>
      <c r="M342" s="17"/>
      <c r="N342" s="17"/>
      <c r="O342" s="13"/>
      <c r="P342" s="13"/>
      <c r="Q342" s="13">
        <v>48</v>
      </c>
      <c r="R342" s="6">
        <v>41</v>
      </c>
      <c r="S342" s="7">
        <v>0.09</v>
      </c>
      <c r="T342" s="62">
        <v>33</v>
      </c>
      <c r="U342" s="16">
        <v>9.9</v>
      </c>
      <c r="V342" s="16"/>
      <c r="W342" s="16">
        <v>40.5</v>
      </c>
      <c r="X342" s="18">
        <v>40.5</v>
      </c>
      <c r="Y342" s="16">
        <f t="shared" si="65"/>
        <v>0</v>
      </c>
      <c r="Z342" s="16">
        <f t="shared" si="66"/>
        <v>9.9</v>
      </c>
      <c r="AA342" s="4">
        <v>0</v>
      </c>
      <c r="AB342" s="4">
        <v>0</v>
      </c>
      <c r="AC342" s="4">
        <v>0</v>
      </c>
      <c r="AD342" s="4">
        <v>15</v>
      </c>
      <c r="AE342" s="32">
        <v>15</v>
      </c>
      <c r="AF342" s="13">
        <f t="shared" si="67"/>
        <v>4</v>
      </c>
      <c r="AG342" s="20">
        <f t="shared" si="59"/>
        <v>46035</v>
      </c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>
        <v>9.9</v>
      </c>
      <c r="AT342" s="13"/>
      <c r="AU342" s="13"/>
      <c r="AV342" s="21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>
        <f t="shared" si="60"/>
        <v>0</v>
      </c>
      <c r="BN342" s="22">
        <f t="shared" si="61"/>
        <v>9.9</v>
      </c>
      <c r="BO342" s="23" t="str">
        <f t="shared" si="62"/>
        <v>ok</v>
      </c>
      <c r="BP342" s="22">
        <f t="shared" si="63"/>
        <v>40.5</v>
      </c>
      <c r="BQ342" s="22" t="str">
        <f t="shared" si="64"/>
        <v>ok</v>
      </c>
      <c r="BR342" s="56"/>
    </row>
    <row r="343" spans="1:70" s="12" customFormat="1" ht="24.95" customHeight="1" x14ac:dyDescent="0.25">
      <c r="A343" s="4" t="s">
        <v>703</v>
      </c>
      <c r="B343" s="15" t="s">
        <v>704</v>
      </c>
      <c r="C343" s="5">
        <v>7022</v>
      </c>
      <c r="D343" s="5" t="s">
        <v>734</v>
      </c>
      <c r="E343" s="16" t="s">
        <v>1000</v>
      </c>
      <c r="F343" s="16">
        <v>1</v>
      </c>
      <c r="G343" s="16">
        <v>0</v>
      </c>
      <c r="H343" s="16">
        <v>0</v>
      </c>
      <c r="I343" s="16" t="s">
        <v>14</v>
      </c>
      <c r="J343" s="17"/>
      <c r="K343" s="17"/>
      <c r="L343" s="17"/>
      <c r="M343" s="17"/>
      <c r="N343" s="17"/>
      <c r="O343" s="13"/>
      <c r="P343" s="13"/>
      <c r="Q343" s="13">
        <v>231</v>
      </c>
      <c r="R343" s="6">
        <v>200</v>
      </c>
      <c r="S343" s="7">
        <v>0.09</v>
      </c>
      <c r="T343" s="62">
        <v>33</v>
      </c>
      <c r="U343" s="16">
        <v>108</v>
      </c>
      <c r="V343" s="16"/>
      <c r="W343" s="16">
        <v>90</v>
      </c>
      <c r="X343" s="18">
        <v>90</v>
      </c>
      <c r="Y343" s="16">
        <f t="shared" si="65"/>
        <v>-9</v>
      </c>
      <c r="Z343" s="16">
        <f t="shared" si="66"/>
        <v>99</v>
      </c>
      <c r="AA343" s="4">
        <v>0</v>
      </c>
      <c r="AB343" s="4">
        <v>0</v>
      </c>
      <c r="AC343" s="4">
        <v>0</v>
      </c>
      <c r="AD343" s="4">
        <v>0</v>
      </c>
      <c r="AE343" s="19">
        <v>0</v>
      </c>
      <c r="AF343" s="13">
        <f t="shared" si="67"/>
        <v>2</v>
      </c>
      <c r="AG343" s="20">
        <f t="shared" si="59"/>
        <v>46031</v>
      </c>
      <c r="AH343" s="24">
        <v>33</v>
      </c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>
        <v>33</v>
      </c>
      <c r="AV343" s="24"/>
      <c r="AW343" s="24"/>
      <c r="AX343" s="24"/>
      <c r="AY343" s="13"/>
      <c r="AZ343" s="13">
        <v>33</v>
      </c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>
        <f t="shared" si="60"/>
        <v>9</v>
      </c>
      <c r="BN343" s="22">
        <f t="shared" si="61"/>
        <v>33</v>
      </c>
      <c r="BO343" s="23" t="str">
        <f t="shared" si="62"/>
        <v>ok</v>
      </c>
      <c r="BP343" s="22">
        <f t="shared" si="63"/>
        <v>90</v>
      </c>
      <c r="BQ343" s="22" t="str">
        <f t="shared" si="64"/>
        <v>ok</v>
      </c>
      <c r="BR343" s="56" t="s">
        <v>28</v>
      </c>
    </row>
    <row r="344" spans="1:70" s="12" customFormat="1" ht="24.95" customHeight="1" x14ac:dyDescent="0.25">
      <c r="A344" s="4" t="s">
        <v>705</v>
      </c>
      <c r="B344" s="15" t="s">
        <v>706</v>
      </c>
      <c r="C344" s="5">
        <v>723</v>
      </c>
      <c r="D344" s="5" t="s">
        <v>731</v>
      </c>
      <c r="E344" s="16" t="s">
        <v>1001</v>
      </c>
      <c r="F344" s="16">
        <v>1</v>
      </c>
      <c r="G344" s="16">
        <v>0</v>
      </c>
      <c r="H344" s="16">
        <v>0</v>
      </c>
      <c r="I344" s="16" t="s">
        <v>14</v>
      </c>
      <c r="J344" s="17"/>
      <c r="K344" s="17"/>
      <c r="L344" s="17"/>
      <c r="M344" s="17"/>
      <c r="N344" s="17"/>
      <c r="O344" s="13"/>
      <c r="P344" s="13"/>
      <c r="Q344" s="13">
        <v>49</v>
      </c>
      <c r="R344" s="6">
        <v>42</v>
      </c>
      <c r="S344" s="7">
        <v>0.09</v>
      </c>
      <c r="T344" s="62">
        <v>45</v>
      </c>
      <c r="U344" s="16">
        <v>14.4</v>
      </c>
      <c r="V344" s="16"/>
      <c r="W344" s="16">
        <v>22.5</v>
      </c>
      <c r="X344" s="18">
        <v>22.5</v>
      </c>
      <c r="Y344" s="16">
        <f t="shared" si="65"/>
        <v>0</v>
      </c>
      <c r="Z344" s="16">
        <f t="shared" si="66"/>
        <v>14.4</v>
      </c>
      <c r="AA344" s="4">
        <v>0</v>
      </c>
      <c r="AB344" s="4">
        <v>0</v>
      </c>
      <c r="AC344" s="4">
        <v>0</v>
      </c>
      <c r="AD344" s="4">
        <v>0</v>
      </c>
      <c r="AE344" s="32">
        <v>0</v>
      </c>
      <c r="AF344" s="13">
        <f t="shared" si="67"/>
        <v>2</v>
      </c>
      <c r="AG344" s="20">
        <f t="shared" si="59"/>
        <v>46031</v>
      </c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>
        <v>14.4</v>
      </c>
      <c r="BM344" s="13">
        <f t="shared" si="60"/>
        <v>14.4</v>
      </c>
      <c r="BN344" s="22">
        <f t="shared" si="61"/>
        <v>0</v>
      </c>
      <c r="BO344" s="23" t="str">
        <f t="shared" si="62"/>
        <v>ok</v>
      </c>
      <c r="BP344" s="22">
        <f t="shared" si="63"/>
        <v>22.5</v>
      </c>
      <c r="BQ344" s="22" t="str">
        <f t="shared" si="64"/>
        <v>ok</v>
      </c>
      <c r="BR344" s="56"/>
    </row>
    <row r="345" spans="1:70" s="12" customFormat="1" ht="24.95" customHeight="1" x14ac:dyDescent="0.25">
      <c r="A345" s="4" t="s">
        <v>707</v>
      </c>
      <c r="B345" s="15" t="s">
        <v>708</v>
      </c>
      <c r="C345" s="5">
        <v>723</v>
      </c>
      <c r="D345" s="5" t="s">
        <v>731</v>
      </c>
      <c r="E345" s="16" t="s">
        <v>1002</v>
      </c>
      <c r="F345" s="16">
        <v>1</v>
      </c>
      <c r="G345" s="16">
        <v>0</v>
      </c>
      <c r="H345" s="16">
        <v>0</v>
      </c>
      <c r="I345" s="16" t="s">
        <v>14</v>
      </c>
      <c r="J345" s="17"/>
      <c r="K345" s="17"/>
      <c r="L345" s="17"/>
      <c r="M345" s="17"/>
      <c r="N345" s="17"/>
      <c r="O345" s="13"/>
      <c r="P345" s="13"/>
      <c r="Q345" s="13">
        <v>70</v>
      </c>
      <c r="R345" s="6">
        <v>60</v>
      </c>
      <c r="S345" s="7">
        <v>0.09</v>
      </c>
      <c r="T345" s="62">
        <v>45</v>
      </c>
      <c r="U345" s="16">
        <v>58.5</v>
      </c>
      <c r="V345" s="16"/>
      <c r="W345" s="16">
        <v>36</v>
      </c>
      <c r="X345" s="18">
        <v>36</v>
      </c>
      <c r="Y345" s="16">
        <f t="shared" si="65"/>
        <v>0</v>
      </c>
      <c r="Z345" s="16">
        <f t="shared" si="66"/>
        <v>58.5</v>
      </c>
      <c r="AA345" s="4">
        <v>0</v>
      </c>
      <c r="AB345" s="4">
        <v>0</v>
      </c>
      <c r="AC345" s="4">
        <v>0</v>
      </c>
      <c r="AD345" s="4">
        <v>0</v>
      </c>
      <c r="AE345" s="32">
        <v>0</v>
      </c>
      <c r="AF345" s="13">
        <f t="shared" si="67"/>
        <v>2</v>
      </c>
      <c r="AG345" s="20">
        <f t="shared" si="59"/>
        <v>46031</v>
      </c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21"/>
      <c r="AW345" s="13">
        <v>22.5</v>
      </c>
      <c r="AX345" s="13"/>
      <c r="AY345" s="13"/>
      <c r="AZ345" s="13"/>
      <c r="BA345" s="13"/>
      <c r="BB345" s="13"/>
      <c r="BC345" s="13"/>
      <c r="BD345" s="13"/>
      <c r="BE345" s="13"/>
      <c r="BF345" s="13">
        <v>36</v>
      </c>
      <c r="BG345" s="13"/>
      <c r="BH345" s="13"/>
      <c r="BI345" s="13"/>
      <c r="BJ345" s="13"/>
      <c r="BK345" s="13"/>
      <c r="BL345" s="13"/>
      <c r="BM345" s="13">
        <f t="shared" si="60"/>
        <v>0</v>
      </c>
      <c r="BN345" s="22">
        <f t="shared" si="61"/>
        <v>36</v>
      </c>
      <c r="BO345" s="23" t="str">
        <f t="shared" si="62"/>
        <v>ok</v>
      </c>
      <c r="BP345" s="22">
        <f t="shared" si="63"/>
        <v>36</v>
      </c>
      <c r="BQ345" s="22" t="str">
        <f t="shared" si="64"/>
        <v>ok</v>
      </c>
      <c r="BR345" s="56"/>
    </row>
    <row r="346" spans="1:70" s="12" customFormat="1" ht="24.95" customHeight="1" x14ac:dyDescent="0.25">
      <c r="A346" s="4" t="s">
        <v>709</v>
      </c>
      <c r="B346" s="15" t="s">
        <v>710</v>
      </c>
      <c r="C346" s="5">
        <v>723</v>
      </c>
      <c r="D346" s="5" t="s">
        <v>731</v>
      </c>
      <c r="E346" s="16" t="s">
        <v>1003</v>
      </c>
      <c r="F346" s="16">
        <v>1</v>
      </c>
      <c r="G346" s="16">
        <v>0</v>
      </c>
      <c r="H346" s="16">
        <v>0</v>
      </c>
      <c r="I346" s="16" t="s">
        <v>14</v>
      </c>
      <c r="J346" s="17"/>
      <c r="K346" s="17"/>
      <c r="L346" s="17"/>
      <c r="M346" s="17"/>
      <c r="N346" s="17"/>
      <c r="O346" s="13"/>
      <c r="P346" s="13"/>
      <c r="Q346" s="13">
        <v>415</v>
      </c>
      <c r="R346" s="6">
        <v>374</v>
      </c>
      <c r="S346" s="7">
        <v>0.09</v>
      </c>
      <c r="T346" s="62">
        <v>45</v>
      </c>
      <c r="U346" s="16">
        <v>108</v>
      </c>
      <c r="V346" s="16"/>
      <c r="W346" s="16">
        <v>69</v>
      </c>
      <c r="X346" s="18">
        <v>69</v>
      </c>
      <c r="Y346" s="16">
        <f t="shared" si="65"/>
        <v>0</v>
      </c>
      <c r="Z346" s="16">
        <f t="shared" si="66"/>
        <v>108</v>
      </c>
      <c r="AA346" s="4">
        <v>30</v>
      </c>
      <c r="AB346" s="4">
        <v>0</v>
      </c>
      <c r="AC346" s="4">
        <v>0</v>
      </c>
      <c r="AD346" s="4">
        <v>0</v>
      </c>
      <c r="AE346" s="19">
        <v>30</v>
      </c>
      <c r="AF346" s="13">
        <f t="shared" si="67"/>
        <v>2</v>
      </c>
      <c r="AG346" s="20">
        <f t="shared" si="59"/>
        <v>46031</v>
      </c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>
        <v>39</v>
      </c>
      <c r="AS346" s="13"/>
      <c r="AT346" s="13"/>
      <c r="AU346" s="13"/>
      <c r="AV346" s="21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>
        <v>45</v>
      </c>
      <c r="BG346" s="13"/>
      <c r="BH346" s="13">
        <v>24</v>
      </c>
      <c r="BI346" s="13"/>
      <c r="BJ346" s="13"/>
      <c r="BK346" s="13"/>
      <c r="BL346" s="13"/>
      <c r="BM346" s="13">
        <f t="shared" si="60"/>
        <v>0</v>
      </c>
      <c r="BN346" s="22">
        <f t="shared" si="61"/>
        <v>45</v>
      </c>
      <c r="BO346" s="23" t="str">
        <f t="shared" si="62"/>
        <v>ok</v>
      </c>
      <c r="BP346" s="22">
        <f t="shared" si="63"/>
        <v>69</v>
      </c>
      <c r="BQ346" s="22" t="str">
        <f t="shared" si="64"/>
        <v>ok</v>
      </c>
      <c r="BR346" s="56"/>
    </row>
    <row r="347" spans="1:70" s="12" customFormat="1" ht="24.95" customHeight="1" x14ac:dyDescent="0.25">
      <c r="A347" s="4" t="s">
        <v>711</v>
      </c>
      <c r="B347" s="15" t="s">
        <v>712</v>
      </c>
      <c r="C347" s="5">
        <v>723</v>
      </c>
      <c r="D347" s="5" t="s">
        <v>731</v>
      </c>
      <c r="E347" s="16" t="s">
        <v>1004</v>
      </c>
      <c r="F347" s="16">
        <v>1</v>
      </c>
      <c r="G347" s="16">
        <v>0</v>
      </c>
      <c r="H347" s="16">
        <v>0</v>
      </c>
      <c r="I347" s="16" t="s">
        <v>14</v>
      </c>
      <c r="J347" s="17"/>
      <c r="K347" s="17"/>
      <c r="L347" s="17"/>
      <c r="M347" s="17"/>
      <c r="N347" s="17"/>
      <c r="O347" s="13"/>
      <c r="P347" s="13"/>
      <c r="Q347" s="13">
        <v>46</v>
      </c>
      <c r="R347" s="6">
        <v>39</v>
      </c>
      <c r="S347" s="7">
        <v>0.09</v>
      </c>
      <c r="T347" s="62">
        <v>33</v>
      </c>
      <c r="U347" s="16">
        <v>111.60000000000001</v>
      </c>
      <c r="V347" s="16"/>
      <c r="W347" s="16">
        <v>46.5</v>
      </c>
      <c r="X347" s="18">
        <v>46.5</v>
      </c>
      <c r="Y347" s="16">
        <f t="shared" si="65"/>
        <v>0</v>
      </c>
      <c r="Z347" s="16">
        <f t="shared" si="66"/>
        <v>111.6</v>
      </c>
      <c r="AA347" s="4">
        <v>0</v>
      </c>
      <c r="AB347" s="4">
        <v>0</v>
      </c>
      <c r="AC347" s="4">
        <v>0</v>
      </c>
      <c r="AD347" s="4">
        <v>0</v>
      </c>
      <c r="AE347" s="32">
        <v>0</v>
      </c>
      <c r="AF347" s="13">
        <f t="shared" si="67"/>
        <v>2</v>
      </c>
      <c r="AG347" s="20">
        <f t="shared" si="59"/>
        <v>46031</v>
      </c>
      <c r="AH347" s="13"/>
      <c r="AI347" s="13"/>
      <c r="AJ347" s="13">
        <v>33</v>
      </c>
      <c r="AK347" s="13"/>
      <c r="AL347" s="13"/>
      <c r="AM347" s="13"/>
      <c r="AN347" s="13">
        <v>13</v>
      </c>
      <c r="AO347" s="13">
        <v>33</v>
      </c>
      <c r="AP347" s="13"/>
      <c r="AQ347" s="13"/>
      <c r="AR347" s="13"/>
      <c r="AS347" s="13"/>
      <c r="AT347" s="13"/>
      <c r="AU347" s="13"/>
      <c r="AV347" s="21"/>
      <c r="AW347" s="13"/>
      <c r="AX347" s="13"/>
      <c r="AY347" s="13"/>
      <c r="AZ347" s="13"/>
      <c r="BA347" s="13"/>
      <c r="BB347" s="13"/>
      <c r="BC347" s="13"/>
      <c r="BD347" s="13">
        <v>32.6</v>
      </c>
      <c r="BE347" s="13"/>
      <c r="BF347" s="13"/>
      <c r="BG347" s="13"/>
      <c r="BH347" s="13"/>
      <c r="BI347" s="13"/>
      <c r="BJ347" s="13"/>
      <c r="BK347" s="13"/>
      <c r="BL347" s="13"/>
      <c r="BM347" s="13">
        <f t="shared" si="60"/>
        <v>1.4210854715202004E-14</v>
      </c>
      <c r="BN347" s="22">
        <f t="shared" si="61"/>
        <v>33</v>
      </c>
      <c r="BO347" s="23" t="str">
        <f t="shared" si="62"/>
        <v>ok</v>
      </c>
      <c r="BP347" s="22">
        <f t="shared" si="63"/>
        <v>46.5</v>
      </c>
      <c r="BQ347" s="22" t="str">
        <f t="shared" si="64"/>
        <v>ok</v>
      </c>
      <c r="BR347" s="56"/>
    </row>
    <row r="348" spans="1:70" s="12" customFormat="1" ht="24.95" customHeight="1" x14ac:dyDescent="0.25">
      <c r="A348" s="4" t="s">
        <v>713</v>
      </c>
      <c r="B348" s="15" t="s">
        <v>714</v>
      </c>
      <c r="C348" s="5">
        <v>723</v>
      </c>
      <c r="D348" s="5" t="s">
        <v>731</v>
      </c>
      <c r="E348" s="16" t="s">
        <v>1005</v>
      </c>
      <c r="F348" s="16">
        <v>1</v>
      </c>
      <c r="G348" s="16">
        <v>0</v>
      </c>
      <c r="H348" s="16">
        <v>0</v>
      </c>
      <c r="I348" s="16" t="s">
        <v>14</v>
      </c>
      <c r="J348" s="17"/>
      <c r="K348" s="17"/>
      <c r="L348" s="17"/>
      <c r="M348" s="17"/>
      <c r="N348" s="17"/>
      <c r="O348" s="13"/>
      <c r="P348" s="13"/>
      <c r="Q348" s="13">
        <v>459</v>
      </c>
      <c r="R348" s="6">
        <v>414</v>
      </c>
      <c r="S348" s="7">
        <v>0.09</v>
      </c>
      <c r="T348" s="62">
        <v>33</v>
      </c>
      <c r="U348" s="16">
        <v>43.2</v>
      </c>
      <c r="V348" s="16"/>
      <c r="W348" s="16">
        <v>28.5</v>
      </c>
      <c r="X348" s="18">
        <v>28.5</v>
      </c>
      <c r="Y348" s="16">
        <f t="shared" si="65"/>
        <v>0</v>
      </c>
      <c r="Z348" s="16">
        <f t="shared" si="66"/>
        <v>43.2</v>
      </c>
      <c r="AA348" s="4">
        <v>0</v>
      </c>
      <c r="AB348" s="4">
        <v>0</v>
      </c>
      <c r="AC348" s="4">
        <v>0</v>
      </c>
      <c r="AD348" s="4">
        <v>0</v>
      </c>
      <c r="AE348" s="32">
        <v>0</v>
      </c>
      <c r="AF348" s="13">
        <f t="shared" si="67"/>
        <v>2</v>
      </c>
      <c r="AG348" s="20">
        <f t="shared" si="59"/>
        <v>46031</v>
      </c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>
        <v>15.2</v>
      </c>
      <c r="AT348" s="13"/>
      <c r="AU348" s="13"/>
      <c r="AV348" s="21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>
        <v>28</v>
      </c>
      <c r="BJ348" s="13"/>
      <c r="BK348" s="13"/>
      <c r="BL348" s="13"/>
      <c r="BM348" s="13">
        <f t="shared" si="60"/>
        <v>0</v>
      </c>
      <c r="BN348" s="22">
        <f t="shared" si="61"/>
        <v>28</v>
      </c>
      <c r="BO348" s="23" t="str">
        <f t="shared" si="62"/>
        <v>ok</v>
      </c>
      <c r="BP348" s="22">
        <f t="shared" si="63"/>
        <v>28.5</v>
      </c>
      <c r="BQ348" s="22" t="str">
        <f t="shared" si="64"/>
        <v>ok</v>
      </c>
      <c r="BR348" s="56"/>
    </row>
    <row r="349" spans="1:70" s="12" customFormat="1" ht="24.95" customHeight="1" x14ac:dyDescent="0.25">
      <c r="A349" s="4" t="s">
        <v>715</v>
      </c>
      <c r="B349" s="15" t="s">
        <v>716</v>
      </c>
      <c r="C349" s="5">
        <v>723</v>
      </c>
      <c r="D349" s="5" t="s">
        <v>731</v>
      </c>
      <c r="E349" s="16" t="s">
        <v>1006</v>
      </c>
      <c r="F349" s="16">
        <v>1</v>
      </c>
      <c r="G349" s="16">
        <v>0</v>
      </c>
      <c r="H349" s="16">
        <v>0</v>
      </c>
      <c r="I349" s="16" t="s">
        <v>14</v>
      </c>
      <c r="J349" s="17"/>
      <c r="K349" s="17"/>
      <c r="L349" s="17"/>
      <c r="M349" s="17"/>
      <c r="N349" s="17"/>
      <c r="O349" s="13"/>
      <c r="P349" s="13"/>
      <c r="Q349" s="13">
        <v>553</v>
      </c>
      <c r="R349" s="6">
        <v>481</v>
      </c>
      <c r="S349" s="7">
        <v>0.09</v>
      </c>
      <c r="T349" s="62">
        <v>33</v>
      </c>
      <c r="U349" s="16">
        <v>18</v>
      </c>
      <c r="V349" s="16"/>
      <c r="W349" s="16">
        <v>30</v>
      </c>
      <c r="X349" s="18">
        <v>30</v>
      </c>
      <c r="Y349" s="16">
        <f t="shared" si="65"/>
        <v>0</v>
      </c>
      <c r="Z349" s="16">
        <f t="shared" si="66"/>
        <v>18</v>
      </c>
      <c r="AA349" s="4">
        <v>0</v>
      </c>
      <c r="AB349" s="4">
        <v>0</v>
      </c>
      <c r="AC349" s="4">
        <v>0</v>
      </c>
      <c r="AD349" s="4">
        <v>0</v>
      </c>
      <c r="AE349" s="19">
        <v>0</v>
      </c>
      <c r="AF349" s="13">
        <f t="shared" si="67"/>
        <v>2</v>
      </c>
      <c r="AG349" s="20">
        <f t="shared" si="59"/>
        <v>46031</v>
      </c>
      <c r="AH349" s="13"/>
      <c r="AI349" s="13"/>
      <c r="AJ349" s="13"/>
      <c r="AK349" s="13"/>
      <c r="AL349" s="13"/>
      <c r="AM349" s="13"/>
      <c r="AN349" s="13"/>
      <c r="AO349" s="13"/>
      <c r="AP349" s="13"/>
      <c r="AQ349" s="13">
        <v>18</v>
      </c>
      <c r="AR349" s="13"/>
      <c r="AS349" s="13"/>
      <c r="AT349" s="13"/>
      <c r="AU349" s="13"/>
      <c r="AV349" s="21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>
        <f t="shared" si="60"/>
        <v>0</v>
      </c>
      <c r="BN349" s="22">
        <f t="shared" si="61"/>
        <v>18</v>
      </c>
      <c r="BO349" s="23" t="str">
        <f t="shared" si="62"/>
        <v>ok</v>
      </c>
      <c r="BP349" s="22">
        <f t="shared" si="63"/>
        <v>30</v>
      </c>
      <c r="BQ349" s="22" t="str">
        <f t="shared" si="64"/>
        <v>ok</v>
      </c>
      <c r="BR349" s="56"/>
    </row>
    <row r="350" spans="1:70" s="12" customFormat="1" ht="24.95" customHeight="1" x14ac:dyDescent="0.25">
      <c r="A350" s="4" t="s">
        <v>717</v>
      </c>
      <c r="B350" s="15" t="s">
        <v>718</v>
      </c>
      <c r="C350" s="5">
        <v>724</v>
      </c>
      <c r="D350" s="5" t="s">
        <v>731</v>
      </c>
      <c r="E350" s="16" t="s">
        <v>1007</v>
      </c>
      <c r="F350" s="16">
        <v>1</v>
      </c>
      <c r="G350" s="16">
        <v>0</v>
      </c>
      <c r="H350" s="16">
        <v>0</v>
      </c>
      <c r="I350" s="16" t="s">
        <v>15</v>
      </c>
      <c r="J350" s="17"/>
      <c r="K350" s="17"/>
      <c r="L350" s="17"/>
      <c r="M350" s="17"/>
      <c r="N350" s="17"/>
      <c r="O350" s="13"/>
      <c r="P350" s="13"/>
      <c r="Q350" s="13">
        <v>348</v>
      </c>
      <c r="R350" s="13">
        <v>303</v>
      </c>
      <c r="S350" s="7">
        <v>0.09</v>
      </c>
      <c r="T350" s="62">
        <v>33</v>
      </c>
      <c r="U350" s="16">
        <v>10.8</v>
      </c>
      <c r="V350" s="16"/>
      <c r="W350" s="16">
        <v>25.5</v>
      </c>
      <c r="X350" s="18">
        <v>25.5</v>
      </c>
      <c r="Y350" s="16">
        <f t="shared" si="65"/>
        <v>0</v>
      </c>
      <c r="Z350" s="16">
        <f t="shared" si="66"/>
        <v>10.8</v>
      </c>
      <c r="AA350" s="4">
        <v>0</v>
      </c>
      <c r="AB350" s="4">
        <v>0</v>
      </c>
      <c r="AC350" s="4">
        <v>0</v>
      </c>
      <c r="AD350" s="4">
        <v>0</v>
      </c>
      <c r="AE350" s="32">
        <v>0</v>
      </c>
      <c r="AF350" s="13">
        <f t="shared" si="67"/>
        <v>2</v>
      </c>
      <c r="AG350" s="20">
        <f t="shared" si="59"/>
        <v>46031</v>
      </c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21"/>
      <c r="AW350" s="13"/>
      <c r="AX350" s="13"/>
      <c r="AY350" s="13"/>
      <c r="AZ350" s="13"/>
      <c r="BA350" s="13"/>
      <c r="BB350" s="13"/>
      <c r="BC350" s="13">
        <v>10.8</v>
      </c>
      <c r="BD350" s="13"/>
      <c r="BE350" s="13"/>
      <c r="BF350" s="13"/>
      <c r="BG350" s="13"/>
      <c r="BH350" s="13"/>
      <c r="BI350" s="13"/>
      <c r="BJ350" s="13"/>
      <c r="BK350" s="13"/>
      <c r="BL350" s="13"/>
      <c r="BM350" s="13">
        <f t="shared" si="60"/>
        <v>0</v>
      </c>
      <c r="BN350" s="22">
        <f t="shared" si="61"/>
        <v>10.8</v>
      </c>
      <c r="BO350" s="23" t="str">
        <f t="shared" si="62"/>
        <v>ok</v>
      </c>
      <c r="BP350" s="22">
        <f t="shared" si="63"/>
        <v>25.5</v>
      </c>
      <c r="BQ350" s="22" t="str">
        <f t="shared" si="64"/>
        <v>ok</v>
      </c>
      <c r="BR350" s="56"/>
    </row>
    <row r="351" spans="1:70" s="12" customFormat="1" ht="24.95" customHeight="1" x14ac:dyDescent="0.25">
      <c r="A351" s="4" t="s">
        <v>719</v>
      </c>
      <c r="B351" s="15" t="s">
        <v>720</v>
      </c>
      <c r="C351" s="5" t="s">
        <v>721</v>
      </c>
      <c r="D351" s="5" t="s">
        <v>735</v>
      </c>
      <c r="E351" s="16" t="s">
        <v>1008</v>
      </c>
      <c r="F351" s="16">
        <v>1</v>
      </c>
      <c r="G351" s="16">
        <v>0</v>
      </c>
      <c r="H351" s="16">
        <v>0</v>
      </c>
      <c r="I351" s="16" t="s">
        <v>14</v>
      </c>
      <c r="J351" s="17"/>
      <c r="K351" s="17"/>
      <c r="L351" s="17"/>
      <c r="M351" s="17"/>
      <c r="N351" s="17"/>
      <c r="O351" s="13"/>
      <c r="P351" s="13"/>
      <c r="Q351" s="13">
        <v>299</v>
      </c>
      <c r="R351" s="6">
        <v>260</v>
      </c>
      <c r="S351" s="7">
        <v>0.09</v>
      </c>
      <c r="T351" s="62">
        <v>33</v>
      </c>
      <c r="U351" s="16">
        <v>14.4</v>
      </c>
      <c r="V351" s="16"/>
      <c r="W351" s="16">
        <v>30</v>
      </c>
      <c r="X351" s="18">
        <v>30</v>
      </c>
      <c r="Y351" s="16">
        <f t="shared" si="65"/>
        <v>0</v>
      </c>
      <c r="Z351" s="16">
        <f t="shared" si="66"/>
        <v>14.4</v>
      </c>
      <c r="AA351" s="4">
        <v>0</v>
      </c>
      <c r="AB351" s="4">
        <v>0</v>
      </c>
      <c r="AC351" s="4">
        <v>0</v>
      </c>
      <c r="AD351" s="4">
        <v>0</v>
      </c>
      <c r="AE351" s="32">
        <v>0</v>
      </c>
      <c r="AF351" s="13">
        <f t="shared" si="67"/>
        <v>2</v>
      </c>
      <c r="AG351" s="20">
        <f t="shared" si="59"/>
        <v>46031</v>
      </c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21"/>
      <c r="AW351" s="13"/>
      <c r="AX351" s="13"/>
      <c r="AY351" s="13"/>
      <c r="AZ351" s="13"/>
      <c r="BA351" s="13"/>
      <c r="BB351" s="13">
        <v>14.4</v>
      </c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>
        <f t="shared" si="60"/>
        <v>0</v>
      </c>
      <c r="BN351" s="22">
        <f t="shared" si="61"/>
        <v>14.4</v>
      </c>
      <c r="BO351" s="23" t="str">
        <f t="shared" si="62"/>
        <v>ok</v>
      </c>
      <c r="BP351" s="22">
        <f t="shared" si="63"/>
        <v>30</v>
      </c>
      <c r="BQ351" s="22" t="str">
        <f t="shared" si="64"/>
        <v>ok</v>
      </c>
      <c r="BR351" s="56"/>
    </row>
    <row r="352" spans="1:70" s="12" customFormat="1" ht="24.95" customHeight="1" x14ac:dyDescent="0.25">
      <c r="A352" s="4" t="s">
        <v>722</v>
      </c>
      <c r="B352" s="15" t="s">
        <v>723</v>
      </c>
      <c r="C352" s="5" t="s">
        <v>721</v>
      </c>
      <c r="D352" s="5" t="s">
        <v>735</v>
      </c>
      <c r="E352" s="16" t="s">
        <v>826</v>
      </c>
      <c r="F352" s="16">
        <v>3</v>
      </c>
      <c r="G352" s="16">
        <v>0</v>
      </c>
      <c r="H352" s="16">
        <v>0</v>
      </c>
      <c r="I352" s="16" t="s">
        <v>14</v>
      </c>
      <c r="J352" s="17"/>
      <c r="K352" s="17"/>
      <c r="L352" s="17"/>
      <c r="M352" s="17"/>
      <c r="N352" s="17"/>
      <c r="O352" s="13"/>
      <c r="P352" s="13"/>
      <c r="Q352" s="13">
        <v>107</v>
      </c>
      <c r="R352" s="6">
        <v>91</v>
      </c>
      <c r="S352" s="7">
        <v>0.09</v>
      </c>
      <c r="T352" s="62">
        <v>33</v>
      </c>
      <c r="U352" s="16">
        <v>9.9</v>
      </c>
      <c r="V352" s="16"/>
      <c r="W352" s="16">
        <v>447</v>
      </c>
      <c r="X352" s="18">
        <v>447</v>
      </c>
      <c r="Y352" s="16">
        <f t="shared" si="65"/>
        <v>0</v>
      </c>
      <c r="Z352" s="16">
        <f t="shared" si="66"/>
        <v>9.9</v>
      </c>
      <c r="AA352" s="4">
        <v>90</v>
      </c>
      <c r="AB352" s="4">
        <v>45</v>
      </c>
      <c r="AC352" s="4">
        <v>45</v>
      </c>
      <c r="AD352" s="4">
        <v>90</v>
      </c>
      <c r="AE352" s="19">
        <v>270</v>
      </c>
      <c r="AF352" s="13">
        <f t="shared" si="67"/>
        <v>2</v>
      </c>
      <c r="AG352" s="20">
        <f t="shared" si="59"/>
        <v>46033</v>
      </c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  <c r="AR352" s="24">
        <v>9.9</v>
      </c>
      <c r="AS352" s="24"/>
      <c r="AT352" s="24"/>
      <c r="AU352" s="24"/>
      <c r="AV352" s="24"/>
      <c r="AW352" s="24"/>
      <c r="AX352" s="24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>
        <f t="shared" si="60"/>
        <v>0</v>
      </c>
      <c r="BN352" s="22">
        <f t="shared" si="61"/>
        <v>9.9</v>
      </c>
      <c r="BO352" s="23" t="str">
        <f t="shared" si="62"/>
        <v>ok</v>
      </c>
      <c r="BP352" s="22">
        <f t="shared" si="63"/>
        <v>447</v>
      </c>
      <c r="BQ352" s="22" t="str">
        <f t="shared" si="64"/>
        <v>ok</v>
      </c>
      <c r="BR352" s="56"/>
    </row>
    <row r="353" spans="1:70" s="12" customFormat="1" ht="24.95" customHeight="1" x14ac:dyDescent="0.25">
      <c r="A353" s="4" t="s">
        <v>724</v>
      </c>
      <c r="B353" s="15" t="s">
        <v>725</v>
      </c>
      <c r="C353" s="5" t="s">
        <v>726</v>
      </c>
      <c r="D353" s="5" t="s">
        <v>735</v>
      </c>
      <c r="E353" s="16" t="s">
        <v>1009</v>
      </c>
      <c r="F353" s="16">
        <v>1</v>
      </c>
      <c r="G353" s="16">
        <v>0</v>
      </c>
      <c r="H353" s="16">
        <v>0</v>
      </c>
      <c r="I353" s="16" t="s">
        <v>15</v>
      </c>
      <c r="J353" s="17"/>
      <c r="K353" s="17"/>
      <c r="L353" s="17"/>
      <c r="M353" s="17"/>
      <c r="N353" s="17"/>
      <c r="O353" s="13"/>
      <c r="P353" s="13"/>
      <c r="Q353" s="13">
        <v>101</v>
      </c>
      <c r="R353" s="6">
        <v>86</v>
      </c>
      <c r="S353" s="7">
        <v>0.09</v>
      </c>
      <c r="T353" s="62">
        <v>33</v>
      </c>
      <c r="U353" s="16">
        <v>9.9</v>
      </c>
      <c r="V353" s="16"/>
      <c r="W353" s="16">
        <v>64.5</v>
      </c>
      <c r="X353" s="18">
        <v>64.5</v>
      </c>
      <c r="Y353" s="16">
        <f t="shared" si="65"/>
        <v>0</v>
      </c>
      <c r="Z353" s="16">
        <f t="shared" si="66"/>
        <v>9.9</v>
      </c>
      <c r="AA353" s="4">
        <v>0</v>
      </c>
      <c r="AB353" s="4">
        <v>0</v>
      </c>
      <c r="AC353" s="4">
        <v>0</v>
      </c>
      <c r="AD353" s="4">
        <v>0</v>
      </c>
      <c r="AE353" s="32">
        <v>0</v>
      </c>
      <c r="AF353" s="13">
        <f t="shared" si="67"/>
        <v>2</v>
      </c>
      <c r="AG353" s="20">
        <f t="shared" si="59"/>
        <v>46031</v>
      </c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  <c r="AR353" s="24"/>
      <c r="AS353" s="24"/>
      <c r="AT353" s="24"/>
      <c r="AU353" s="24"/>
      <c r="AV353" s="24"/>
      <c r="AW353" s="24"/>
      <c r="AX353" s="24"/>
      <c r="AY353" s="13"/>
      <c r="AZ353" s="13"/>
      <c r="BA353" s="13">
        <v>9.9</v>
      </c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>
        <f t="shared" si="60"/>
        <v>0</v>
      </c>
      <c r="BN353" s="22">
        <f t="shared" si="61"/>
        <v>9.9</v>
      </c>
      <c r="BO353" s="23" t="str">
        <f t="shared" si="62"/>
        <v>ok</v>
      </c>
      <c r="BP353" s="22">
        <f t="shared" si="63"/>
        <v>64.5</v>
      </c>
      <c r="BQ353" s="22" t="str">
        <f t="shared" si="64"/>
        <v>ok</v>
      </c>
      <c r="BR353" s="56"/>
    </row>
  </sheetData>
  <autoFilter ref="A16:BR353" xr:uid="{9436BF78-E651-4D61-82F3-B019A623A375}">
    <sortState xmlns:xlrd2="http://schemas.microsoft.com/office/spreadsheetml/2017/richdata2" ref="A17:BR353">
      <sortCondition ref="A16:A353"/>
    </sortState>
  </autoFilter>
  <dataConsolidate/>
  <mergeCells count="4">
    <mergeCell ref="B5:E5"/>
    <mergeCell ref="T5:W5"/>
    <mergeCell ref="AH4:BL4"/>
    <mergeCell ref="BM4:BR4"/>
  </mergeCells>
  <conditionalFormatting sqref="BJ28:BL28 AH28:BH28 AH29:BL353 AH17:BL27">
    <cfRule type="cellIs" dxfId="1" priority="7" operator="greaterThan">
      <formula>45</formula>
    </cfRule>
  </conditionalFormatting>
  <conditionalFormatting sqref="Y17:Y600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8" scale="10" fitToWidth="0" fitToHeight="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Mini 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Kaua Da Silva Bezerra</dc:creator>
  <cp:lastModifiedBy>kauã da silva</cp:lastModifiedBy>
  <cp:lastPrinted>2026-08-03T16:24:36Z</cp:lastPrinted>
  <dcterms:created xsi:type="dcterms:W3CDTF">2026-02-27T18:02:04Z</dcterms:created>
  <dcterms:modified xsi:type="dcterms:W3CDTF">2026-09-29T23:32:25Z</dcterms:modified>
</cp:coreProperties>
</file>